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0a0347d94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台" sheetId="1" r:id="R5e1f75cb69ce497b"/>
    <x:sheet xmlns:r="http://schemas.openxmlformats.org/officeDocument/2006/relationships" name="发票台账" sheetId="2" r:id="R12f02cdf646a4c6f"/>
    <x:sheet xmlns:r="http://schemas.openxmlformats.org/officeDocument/2006/relationships" name="银行流水" sheetId="3" r:id="R3e4a05b6f138439d"/>
    <x:sheet xmlns:r="http://schemas.openxmlformats.org/officeDocument/2006/relationships" name="记账凭证" sheetId="4" r:id="Rd9f05a705e094ec7"/>
    <x:sheet xmlns:r="http://schemas.openxmlformats.org/officeDocument/2006/relationships" name="科目余额" sheetId="5" r:id="R9c0ad492ed10407b"/>
    <x:sheet xmlns:r="http://schemas.openxmlformats.org/officeDocument/2006/relationships" name="税务测算" sheetId="6" r:id="R95fc27fefa6a4a80"/>
    <x:sheet xmlns:r="http://schemas.openxmlformats.org/officeDocument/2006/relationships" name="申报日历" sheetId="7" r:id="R0ab1d55ce0a1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0;[Red](#,##0.00);-"/>
  </x:numFmts>
  <x:fonts count="10">
    <x:font>
      <x:sz val="11"/>
      <x:name val="Carlito"/>
    </x:font>
    <x:font>
      <x:sz val="10"/>
      <x:color rgb="FF222222"/>
      <x:name val="Arial"/>
    </x:font>
    <x:font>
      <x:b/>
      <x:sz val="15"/>
      <x:color rgb="FF17365D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9"/>
      <x:color rgb="FF17365D"/>
      <x:name val="Arial"/>
    </x:font>
    <x:font>
      <x:sz val="9"/>
      <x:color rgb="FF0563C1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</x:fills>
  <x:borders count="14">
    <x:border/>
    <x:border>
      <x:bottom style="thin">
        <x:color rgb="FF1F4E78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B7C9D6"/>
      </x:bottom>
    </x:border>
    <x:border>
      <x:top style="thin">
        <x:color rgb="FFB7C9D6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B7C9D6"/>
      </x:bottom>
    </x:border>
    <x:border>
      <x:left style="thin">
        <x:color rgb="FFFFFFFF"/>
      </x:left>
      <x:right style="thin">
        <x:color rgb="FFFFFFFF"/>
      </x:right>
      <x:bottom style="thin">
        <x:color rgb="FFB7C9D6"/>
      </x:bottom>
    </x:border>
    <x:border>
      <x:right style="thin">
        <x:color rgb="FFFFFFFF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2" borderId="2" xfId="0" applyNumberFormat="1" applyFont="1" applyFill="1" applyBorder="1" applyAlignment="1">
      <x:alignment vertical="center" wrapText="0"/>
    </x:xf>
    <x:xf numFmtId="0" fontId="3" fillId="2" borderId="3" xfId="0" applyNumberFormat="1" applyFont="1" applyFill="1" applyBorder="1" applyAlignment="1">
      <x:alignment vertical="center" wrapText="0"/>
    </x:xf>
    <x:xf numFmtId="0" fontId="3" fillId="2" borderId="5" xfId="0" applyNumberFormat="1" applyFont="1" applyFill="1" applyBorder="1" applyAlignment="1">
      <x:alignment vertical="center" wrapText="0"/>
    </x:xf>
    <x:xf numFmtId="0" fontId="3" fillId="2" borderId="4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0" fontId="3" fillId="0" borderId="6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3" fillId="0" borderId="3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200" fontId="4" fillId="3" borderId="0" xfId="0" applyNumberFormat="1" applyFont="1" applyFill="1" applyBorder="1" applyAlignment="1">
      <x:alignment vertical="center" wrapText="0"/>
    </x:xf>
    <x:xf numFmtId="0" fontId="3" fillId="0" borderId="7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 applyAlignment="1">
      <x:alignment vertical="center" wrapText="0"/>
    </x:xf>
    <x:xf numFmtId="201" fontId="4" fillId="3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vertical="center"/>
    </x:xf>
    <x:xf numFmtId="0" fontId="8" fillId="5" borderId="9" xfId="0" applyNumberFormat="1" applyFont="1" applyFill="1" applyBorder="1" applyAlignment="1">
      <x:alignment vertical="center"/>
    </x:xf>
    <x:xf numFmtId="0" fontId="8" fillId="5" borderId="10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vertical="center"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5" borderId="10" xfId="0" applyNumberFormat="1" applyFont="1" applyFill="1" applyBorder="1" applyAlignment="1">
      <x:alignment vertical="center" wrapText="1"/>
    </x:xf>
    <x:xf numFmtId="0" fontId="8" fillId="5" borderId="8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4" fillId="3" borderId="0" xfId="0" applyNumberFormat="1" applyFont="1" applyFill="1" applyBorder="1"/>
    <x:xf numFmtId="202" fontId="4" fillId="3" borderId="0" xfId="0" applyNumberFormat="1" applyFont="1" applyFill="1" applyBorder="1"/>
    <x:xf numFmtId="0" fontId="8" fillId="5" borderId="11" xfId="0" applyNumberFormat="1" applyFont="1" applyFill="1" applyBorder="1" applyAlignment="1">
      <x:alignment horizontal="center" vertical="center" wrapText="1"/>
    </x:xf>
    <x:xf numFmtId="0" fontId="8" fillId="5" borderId="12" xfId="0" applyNumberFormat="1" applyFont="1" applyFill="1" applyBorder="1" applyAlignment="1">
      <x:alignment horizontal="center" vertical="center" wrapText="1"/>
    </x:xf>
    <x:xf numFmtId="203" fontId="4" fillId="3" borderId="3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1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4e163a80a450a" /><Relationship Type="http://schemas.openxmlformats.org/officeDocument/2006/relationships/theme" Target="/xl/theme/theme1.xml" Id="Ra1c309e7af7e48e6" /><Relationship Type="http://schemas.openxmlformats.org/officeDocument/2006/relationships/sharedStrings" Target="/xl/sharedStrings.xml" Id="Rd64f751cd4b64691" /><Relationship Type="http://schemas.openxmlformats.org/officeDocument/2006/relationships/worksheet" Target="/xl/worksheets/sheet1.xml" Id="R5e1f75cb69ce497b" /><Relationship Type="http://schemas.openxmlformats.org/officeDocument/2006/relationships/worksheet" Target="/xl/worksheets/sheet2.xml" Id="R12f02cdf646a4c6f" /><Relationship Type="http://schemas.openxmlformats.org/officeDocument/2006/relationships/worksheet" Target="/xl/worksheets/sheet3.xml" Id="R3e4a05b6f138439d" /><Relationship Type="http://schemas.openxmlformats.org/officeDocument/2006/relationships/worksheet" Target="/xl/worksheets/sheet4.xml" Id="Rd9f05a705e094ec7" /><Relationship Type="http://schemas.openxmlformats.org/officeDocument/2006/relationships/worksheet" Target="/xl/worksheets/sheet5.xml" Id="R9c0ad492ed10407b" /><Relationship Type="http://schemas.openxmlformats.org/officeDocument/2006/relationships/worksheet" Target="/xl/worksheets/sheet6.xml" Id="R95fc27fefa6a4a80" /><Relationship Type="http://schemas.openxmlformats.org/officeDocument/2006/relationships/worksheet" Target="/xl/worksheets/sheet7.xml" Id="R0ab1d55ce0a1482f" /></Relationships>
</file>

<file path=xl/tables/table1.xml><?xml version="1.0" encoding="utf-8"?>
<x:table xmlns:x="http://schemas.openxmlformats.org/spreadsheetml/2006/main" id="1" name="InvoicesTable" displayName="InvoicesTable" ref="A4:O154" headerRowCount="1" totalsRowCount="0" totalsRowShown="0">
  <x:tableColumns count="15">
    <x:tableColumn id="1" name="日期"/>
    <x:tableColumn id="2" name="方向"/>
    <x:tableColumn id="3" name="发票类型"/>
    <x:tableColumn id="4" name="项目/合同号"/>
    <x:tableColumn id="5" name="对方名称"/>
    <x:tableColumn id="6" name="发票号码"/>
    <x:tableColumn id="7" name="含税金额"/>
    <x:tableColumn id="8" name="税率"/>
    <x:tableColumn id="9" name="不含税金额"/>
    <x:tableColumn id="10" name="税额"/>
    <x:tableColumn id="11" name="发票状态"/>
    <x:tableColumn id="12" name="收付款状态"/>
    <x:tableColumn id="13" name="凭证号"/>
    <x:tableColumn id="14" name="附件文件名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kTable" displayName="BankTable" ref="A4:N154" headerRowCount="1" totalsRowCount="0" totalsRowShown="0">
  <x:tableColumns count="14">
    <x:tableColumn id="1" name="日期"/>
    <x:tableColumn id="2" name="公司账户"/>
    <x:tableColumn id="3" name="银行流水号"/>
    <x:tableColumn id="4" name="方向"/>
    <x:tableColumn id="5" name="对方名称"/>
    <x:tableColumn id="6" name="摘要"/>
    <x:tableColumn id="7" name="金额"/>
    <x:tableColumn id="8" name="项目/合同号"/>
    <x:tableColumn id="9" name="业务类型"/>
    <x:tableColumn id="10" name="发票号码"/>
    <x:tableColumn id="11" name="凭证号"/>
    <x:tableColumn id="12" name="已对账"/>
    <x:tableColumn id="13" name="附件文件名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urnalTable" displayName="JournalTable" ref="A4:O204" headerRowCount="1" totalsRowCount="0" totalsRowShown="0">
  <x:tableColumns count="15">
    <x:tableColumn id="1" name="凭证日期"/>
    <x:tableColumn id="2" name="凭证号"/>
    <x:tableColumn id="3" name="行号"/>
    <x:tableColumn id="4" name="摘要"/>
    <x:tableColumn id="5" name="科目编码"/>
    <x:tableColumn id="6" name="科目名称"/>
    <x:tableColumn id="7" name="借方"/>
    <x:tableColumn id="8" name="贷方"/>
    <x:tableColumn id="9" name="损益类别"/>
    <x:tableColumn id="10" name="项目/合同号"/>
    <x:tableColumn id="11" name="对方名称"/>
    <x:tableColumn id="12" name="发票号码"/>
    <x:tableColumn id="13" name="银行流水号"/>
    <x:tableColumn id="14" name="凭证借贷差额"/>
    <x:tableColumn id="15" name="附件文件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c273acd5b549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f879bf7b1942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2183f9d76a4e5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5" hidden="0" customWidth="1"/>
    <x:col min="2" max="2" width="80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8"/>
      <x:c r="B1" s="28"/>
      <x:c r="C1" s="28"/>
      <x:c r="D1" s="28"/>
      <x:c r="E1" s="28"/>
      <x:c r="F1" s="28"/>
      <x:c r="G1" s="28"/>
      <x:c r="H1" s="28"/>
      <x:c r="I1" s="28"/>
      <x:c r="J1" s="28"/>
      <x:c r="K1" s="2"/>
      <x:c r="L1" s="2"/>
      <x:c r="M1" s="2"/>
      <x:c r="N1" s="2"/>
      <x:c r="O1" s="2"/>
      <x:c r="P1" s="2"/>
      <x:c r="Q1" s="2"/>
    </x:row>
    <x:row r="2" ht="24" customHeight="1">
      <x:c r="A2" s="29" t="str">
        <x:v>常州市爱坤网络科技有限公司 记账与报税工作台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"/>
      <x:c r="L2" s="2"/>
      <x:c r="M2" s="2"/>
      <x:c r="N2" s="2"/>
      <x:c r="O2" s="2"/>
      <x:c r="P2" s="2"/>
      <x:c r="Q2" s="2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2"/>
      <x:c r="L3" s="2"/>
      <x:c r="M3" s="2"/>
      <x:c r="N3" s="2"/>
      <x:c r="O3" s="2"/>
      <x:c r="P3" s="2"/>
      <x:c r="Q3" s="2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"/>
      <x:c r="L4" s="2"/>
      <x:c r="M4" s="2"/>
      <x:c r="N4" s="2"/>
      <x:c r="O4" s="2"/>
      <x:c r="P4" s="2"/>
      <x:c r="Q4" s="2"/>
    </x:row>
    <x:row r="5">
      <x:c r="A5" s="31" t="str">
        <x:v>基础设置（黄色单元格请核对）</x:v>
      </x:c>
      <x:c r="B5" s="32"/>
      <x:c r="C5" s="32"/>
      <x:c r="D5" s="33" t="str">
        <x:v>每笔业务的最小证据链</x:v>
      </x:c>
      <x:c r="E5" s="32"/>
      <x:c r="F5" s="32"/>
      <x:c r="G5" s="32"/>
      <x:c r="H5" s="32"/>
      <x:c r="I5" s="32"/>
      <x:c r="J5" s="34"/>
      <x:c r="K5" s="2"/>
      <x:c r="L5" s="2"/>
      <x:c r="M5" s="2"/>
      <x:c r="N5" s="2"/>
      <x:c r="O5" s="2"/>
      <x:c r="P5" s="2"/>
      <x:c r="Q5" s="2"/>
    </x:row>
    <x:row r="6">
      <x:c r="A6" s="35" t="str">
        <x:v>纳税人类型</x:v>
      </x:c>
      <x:c r="B6" s="36" t="str">
        <x:v>小规模纳税人</x:v>
      </x:c>
      <x:c r="C6" s="28"/>
      <x:c r="D6" s="37" t="str">
        <x:v>收入</x:v>
      </x:c>
      <x:c r="E6" s="38" t="str">
        <x:v>合同/报价</x:v>
      </x:c>
      <x:c r="F6" s="38" t="str">
        <x:v>交付记录</x:v>
      </x:c>
      <x:c r="G6" s="38" t="str">
        <x:v>验收单</x:v>
      </x:c>
      <x:c r="H6" s="38" t="str">
        <x:v>销项发票</x:v>
      </x:c>
      <x:c r="I6" s="38" t="str">
        <x:v>对公收款</x:v>
      </x:c>
      <x:c r="J6" s="38" t="str">
        <x:v>记账凭证</x:v>
      </x:c>
      <x:c r="K6" s="2"/>
      <x:c r="L6" s="2"/>
      <x:c r="M6" s="2"/>
      <x:c r="N6" s="2"/>
      <x:c r="O6" s="2"/>
      <x:c r="P6" s="2"/>
      <x:c r="Q6" s="2"/>
    </x:row>
    <x:row r="7">
      <x:c r="A7" s="35" t="str">
        <x:v>增值税纳税期限</x:v>
      </x:c>
      <x:c r="B7" s="36" t="str">
        <x:v>按季</x:v>
      </x:c>
      <x:c r="C7" s="28"/>
      <x:c r="D7" s="39" t="str">
        <x:v>费用</x:v>
      </x:c>
      <x:c r="E7" s="40" t="str">
        <x:v>业务目的</x:v>
      </x:c>
      <x:c r="F7" s="40" t="str">
        <x:v>订单/合同</x:v>
      </x:c>
      <x:c r="G7" s="40" t="str">
        <x:v>公司抬头发票</x:v>
      </x:c>
      <x:c r="H7" s="40" t="str">
        <x:v>付款证明</x:v>
      </x:c>
      <x:c r="I7" s="40" t="str">
        <x:v>报销单</x:v>
      </x:c>
      <x:c r="J7" s="40" t="str">
        <x:v>记账凭证</x:v>
      </x:c>
      <x:c r="K7" s="2"/>
      <x:c r="L7" s="2"/>
      <x:c r="M7" s="2"/>
      <x:c r="N7" s="2"/>
      <x:c r="O7" s="2"/>
      <x:c r="P7" s="2"/>
      <x:c r="Q7" s="2"/>
    </x:row>
    <x:row r="8">
      <x:c r="A8" s="35" t="str">
        <x:v>会计制度</x:v>
      </x:c>
      <x:c r="B8" s="36" t="str">
        <x:v>小企业会计准则</x:v>
      </x:c>
      <x:c r="C8" s="28"/>
      <x:c r="D8" s="39" t="str">
        <x:v>股东出资</x:v>
      </x:c>
      <x:c r="E8" s="40" t="str">
        <x:v>章程/出资期限</x:v>
      </x:c>
      <x:c r="F8" s="40" t="str">
        <x:v>个人转公司</x:v>
      </x:c>
      <x:c r="G8" s="40" t="str">
        <x:v>备注“投资款”</x:v>
      </x:c>
      <x:c r="H8" s="40" t="str">
        <x:v>银行回单</x:v>
      </x:c>
      <x:c r="I8" s="40" t="str">
        <x:v>公示记录</x:v>
      </x:c>
      <x:c r="J8" s="40" t="str">
        <x:v>记账凭证</x:v>
      </x:c>
      <x:c r="K8" s="2"/>
      <x:c r="L8" s="2"/>
      <x:c r="M8" s="2"/>
      <x:c r="N8" s="2"/>
      <x:c r="O8" s="2"/>
      <x:c r="P8" s="2"/>
      <x:c r="Q8" s="2"/>
    </x:row>
    <x:row r="9">
      <x:c r="A9" s="35" t="str">
        <x:v>账簿年度</x:v>
      </x:c>
      <x:c r="B9" s="41" t="n">
        <x:v>2026</x:v>
      </x:c>
      <x:c r="C9" s="28"/>
      <x:c r="D9" s="39" t="str">
        <x:v>股东借款</x:v>
      </x:c>
      <x:c r="E9" s="40" t="str">
        <x:v>借款协议</x:v>
      </x:c>
      <x:c r="F9" s="40" t="str">
        <x:v>个人转公司</x:v>
      </x:c>
      <x:c r="G9" s="40" t="str">
        <x:v>备注“借款”</x:v>
      </x:c>
      <x:c r="H9" s="40" t="str">
        <x:v>银行回单</x:v>
      </x:c>
      <x:c r="I9" s="40" t="str">
        <x:v>还款记录</x:v>
      </x:c>
      <x:c r="J9" s="40" t="str">
        <x:v>记账凭证</x:v>
      </x:c>
      <x:c r="K9" s="2"/>
      <x:c r="L9" s="2"/>
      <x:c r="M9" s="2"/>
      <x:c r="N9" s="2"/>
      <x:c r="O9" s="2"/>
      <x:c r="P9" s="2"/>
      <x:c r="Q9" s="2"/>
    </x:row>
    <x:row r="10">
      <x:c r="A10" s="35" t="str">
        <x:v>季度增值税起征点（元）</x:v>
      </x:c>
      <x:c r="B10" s="41" t="n">
        <x:v>300000</x:v>
      </x:c>
      <x:c r="C10" s="28"/>
      <x:c r="D10" s="42" t="str">
        <x:v>利润分红</x:v>
      </x:c>
      <x:c r="E10" s="43" t="str">
        <x:v>已完税利润</x:v>
      </x:c>
      <x:c r="F10" s="43" t="str">
        <x:v>弥补亏损/提公积</x:v>
      </x:c>
      <x:c r="G10" s="43" t="str">
        <x:v>股东决定</x:v>
      </x:c>
      <x:c r="H10" s="43" t="str">
        <x:v>代扣个税</x:v>
      </x:c>
      <x:c r="I10" s="43" t="str">
        <x:v>公司转个人</x:v>
      </x:c>
      <x:c r="J10" s="43" t="str">
        <x:v>记账凭证</x:v>
      </x:c>
      <x:c r="K10" s="2"/>
      <x:c r="L10" s="2"/>
      <x:c r="M10" s="2"/>
      <x:c r="N10" s="2"/>
      <x:c r="O10" s="2"/>
      <x:c r="P10" s="2"/>
      <x:c r="Q10" s="2"/>
    </x:row>
    <x:row r="11">
      <x:c r="A11" s="35" t="str">
        <x:v>小规模常用征收率</x:v>
      </x:c>
      <x:c r="B11" s="44" t="n">
        <x:v>0.01</x:v>
      </x:c>
      <x:c r="C11" s="28"/>
      <x:c r="D11" s="28"/>
      <x:c r="E11" s="28"/>
      <x:c r="F11" s="28"/>
      <x:c r="G11" s="28"/>
      <x:c r="H11" s="28"/>
      <x:c r="I11" s="28"/>
      <x:c r="J11" s="28"/>
      <x:c r="K11" s="2"/>
      <x:c r="L11" s="2"/>
      <x:c r="M11" s="2"/>
      <x:c r="N11" s="2"/>
      <x:c r="O11" s="2"/>
      <x:c r="P11" s="2"/>
      <x:c r="Q11" s="2"/>
    </x:row>
    <x:row r="12">
      <x:c r="A12" s="35" t="str">
        <x:v>小型微利企业所得税估算率</x:v>
      </x:c>
      <x:c r="B12" s="44" t="n">
        <x:v>0.05</x:v>
      </x:c>
      <x:c r="C12" s="28"/>
      <x:c r="D12" s="28"/>
      <x:c r="E12" s="28"/>
      <x:c r="F12" s="28"/>
      <x:c r="G12" s="28"/>
      <x:c r="H12" s="28"/>
      <x:c r="I12" s="28"/>
      <x:c r="J12" s="28"/>
      <x:c r="K12" s="2"/>
      <x:c r="L12" s="2"/>
      <x:c r="M12" s="2"/>
      <x:c r="N12" s="2"/>
      <x:c r="O12" s="2"/>
      <x:c r="P12" s="2"/>
      <x:c r="Q12" s="2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"/>
      <x:c r="L13" s="2"/>
      <x:c r="M13" s="2"/>
      <x:c r="N13" s="2"/>
      <x:c r="O13" s="2"/>
      <x:c r="P13" s="2"/>
      <x:c r="Q13" s="2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"/>
      <x:c r="L14" s="2"/>
      <x:c r="M14" s="2"/>
      <x:c r="N14" s="2"/>
      <x:c r="O14" s="2"/>
      <x:c r="P14" s="2"/>
      <x:c r="Q14" s="2"/>
    </x:row>
    <x:row r="15">
      <x:c r="A15" s="49" t="str">
        <x:v>本月关账清单</x:v>
      </x:c>
      <x:c r="B15" s="50"/>
      <x:c r="C15" s="50"/>
      <x:c r="D15" s="50"/>
      <x:c r="E15" s="50"/>
      <x:c r="F15" s="50"/>
      <x:c r="G15" s="50"/>
      <x:c r="H15" s="50"/>
      <x:c r="I15" s="50"/>
      <x:c r="J15" s="51"/>
      <x:c r="K15" s="2"/>
      <x:c r="L15" s="2"/>
      <x:c r="M15" s="2"/>
      <x:c r="N15" s="2"/>
      <x:c r="O15" s="2"/>
      <x:c r="P15" s="2"/>
      <x:c r="Q15" s="2"/>
    </x:row>
    <x:row r="16">
      <x:c r="A16" s="52" t="str">
        <x:v>1</x:v>
      </x:c>
      <x:c r="B16" s="23" t="str">
        <x:v>下载公司银行对账单</x:v>
      </x:c>
      <x:c r="C16" s="23" t="str">
        <x:v>保存PDF/Excel</x:v>
      </x:c>
      <x:c r="D16" s="23" t="str"/>
      <x:c r="E16" s="23" t="str">
        <x:v>5</x:v>
      </x:c>
      <x:c r="F16" s="23" t="str">
        <x:v>核对销项、进项发票台账</x:v>
      </x:c>
      <x:c r="G16" s="23" t="str">
        <x:v>票、款、合同对应</x:v>
      </x:c>
      <x:c r="H16" s="23" t="str"/>
      <x:c r="I16" s="23" t="str"/>
      <x:c r="J16" s="23" t="str"/>
      <x:c r="K16" s="2"/>
      <x:c r="L16" s="2"/>
      <x:c r="M16" s="2"/>
      <x:c r="N16" s="2"/>
      <x:c r="O16" s="2"/>
      <x:c r="P16" s="2"/>
      <x:c r="Q16" s="2"/>
    </x:row>
    <x:row r="17">
      <x:c r="A17" s="52" t="str">
        <x:v>2</x:v>
      </x:c>
      <x:c r="B17" s="23" t="str">
        <x:v>导出数电票清单和票面文件</x:v>
      </x:c>
      <x:c r="C17" s="23" t="str">
        <x:v>PDF/OFD/XML均留存</x:v>
      </x:c>
      <x:c r="D17" s="23" t="str"/>
      <x:c r="E17" s="23" t="str">
        <x:v>6</x:v>
      </x:c>
      <x:c r="F17" s="23" t="str">
        <x:v>编制并检查记账凭证</x:v>
      </x:c>
      <x:c r="G17" s="23" t="str">
        <x:v>每张凭证借贷相等</x:v>
      </x:c>
      <x:c r="H17" s="23" t="str"/>
      <x:c r="I17" s="23" t="str"/>
      <x:c r="J17" s="23" t="str"/>
      <x:c r="K17" s="2"/>
      <x:c r="L17" s="2"/>
      <x:c r="M17" s="2"/>
      <x:c r="N17" s="2"/>
      <x:c r="O17" s="2"/>
      <x:c r="P17" s="2"/>
      <x:c r="Q17" s="2"/>
    </x:row>
    <x:row r="18">
      <x:c r="A18" s="52" t="str">
        <x:v>3</x:v>
      </x:c>
      <x:c r="B18" s="23" t="str">
        <x:v>逐笔匹配银行流水</x:v>
      </x:c>
      <x:c r="C18" s="23" t="str">
        <x:v>不得遗漏个人垫付</x:v>
      </x:c>
      <x:c r="D18" s="23" t="str"/>
      <x:c r="E18" s="23" t="str">
        <x:v>7</x:v>
      </x:c>
      <x:c r="F18" s="23" t="str">
        <x:v>更新科目余额和往来</x:v>
      </x:c>
      <x:c r="G18" s="23" t="str">
        <x:v>清理应收、股东往来</x:v>
      </x:c>
      <x:c r="H18" s="23" t="str"/>
      <x:c r="I18" s="23" t="str"/>
      <x:c r="J18" s="23" t="str"/>
      <x:c r="K18" s="2"/>
      <x:c r="L18" s="2"/>
      <x:c r="M18" s="2"/>
      <x:c r="N18" s="2"/>
      <x:c r="O18" s="2"/>
      <x:c r="P18" s="2"/>
      <x:c r="Q18" s="2"/>
    </x:row>
    <x:row r="19">
      <x:c r="A19" s="52" t="str">
        <x:v>4</x:v>
      </x:c>
      <x:c r="B19" s="23" t="str">
        <x:v>补齐合同、验收、报销单</x:v>
      </x:c>
      <x:c r="C19" s="23" t="str">
        <x:v>缺票先标记不可税前扣除</x:v>
      </x:c>
      <x:c r="D19" s="23" t="str"/>
      <x:c r="E19" s="23" t="str">
        <x:v>8</x:v>
      </x:c>
      <x:c r="F19" s="23" t="str">
        <x:v>备份并锁定当月文件夹</x:v>
      </x:c>
      <x:c r="G19" s="23" t="str">
        <x:v>账簿与附件双备份</x:v>
      </x:c>
      <x:c r="H19" s="23" t="str"/>
      <x:c r="I19" s="23" t="str"/>
      <x:c r="J19" s="23" t="str"/>
      <x:c r="K19" s="2"/>
      <x:c r="L19" s="2"/>
      <x:c r="M19" s="2"/>
      <x:c r="N19" s="2"/>
      <x:c r="O19" s="2"/>
      <x:c r="P19" s="2"/>
      <x:c r="Q19" s="2"/>
    </x:row>
    <x:row r="20">
      <x:c r="A20" s="52" t="str">
        <x:v>提示</x:v>
      </x:c>
      <x:c r="B20" s="24" t="str">
        <x:v>即使当期无收入，也按电子税务局“应申报清册”做零申报并报送财务报表。</x:v>
      </x:c>
      <x:c r="C20" s="24" t="str"/>
      <x:c r="D20" s="24" t="str"/>
      <x:c r="E20" s="24" t="str"/>
      <x:c r="F20" s="24" t="str"/>
      <x:c r="G20" s="24" t="str"/>
      <x:c r="H20" s="24" t="str"/>
      <x:c r="I20" s="24" t="str"/>
      <x:c r="J20" s="24" t="str"/>
      <x:c r="K20" s="2"/>
      <x:c r="L20" s="2"/>
      <x:c r="M20" s="2"/>
      <x:c r="N20" s="2"/>
      <x:c r="O20" s="2"/>
      <x:c r="P20" s="2"/>
      <x:c r="Q20" s="2"/>
    </x:row>
    <x:row r="21">
      <x:c r="A21" s="52" t="str">
        <x:v>提示</x:v>
      </x:c>
      <x:c r="B21" s="24" t="str">
        <x:v>公司款与个人款严格分开。一人公司的唯一股东对财产独立负更高举证责任。</x:v>
      </x:c>
      <x:c r="C21" s="24" t="str"/>
      <x:c r="D21" s="24" t="str"/>
      <x:c r="E21" s="24" t="str"/>
      <x:c r="F21" s="24" t="str"/>
      <x:c r="G21" s="24" t="str"/>
      <x:c r="H21" s="24" t="str"/>
      <x:c r="I21" s="24" t="str"/>
      <x:c r="J21" s="24" t="str"/>
      <x:c r="K21" s="2"/>
      <x:c r="L21" s="2"/>
      <x:c r="M21" s="2"/>
      <x:c r="N21" s="2"/>
      <x:c r="O21" s="2"/>
      <x:c r="P21" s="2"/>
      <x:c r="Q21" s="2"/>
    </x:row>
    <x:row r="22">
      <x:c r="A22" s="52" t="str">
        <x:v>提示</x:v>
      </x:c>
      <x:c r="B22" s="24" t="str">
        <x:v>税务测算页只作复核，不替代电子税务局申报表及主管税务机关口径。</x:v>
      </x:c>
      <x:c r="C22" s="24" t="str"/>
      <x:c r="D22" s="24" t="str"/>
      <x:c r="E22" s="24" t="str"/>
      <x:c r="F22" s="24" t="str"/>
      <x:c r="G22" s="24" t="str"/>
      <x:c r="H22" s="24" t="str"/>
      <x:c r="I22" s="24" t="str"/>
      <x:c r="J22" s="24" t="str"/>
      <x:c r="K22" s="2"/>
      <x:c r="L22" s="2"/>
      <x:c r="M22" s="2"/>
      <x:c r="N22" s="2"/>
      <x:c r="O22" s="2"/>
      <x:c r="P22" s="2"/>
      <x:c r="Q22" s="2"/>
    </x:row>
    <x:row r="23">
      <x:c r="A23" s="52" t="str">
        <x:v>提示</x:v>
      </x:c>
      <x:c r="B23" s="24" t="str">
        <x:v>如实际为一般纳税人，本模板的增值税测算不适用，应按销项税额减可抵扣进项税额另行核算。</x:v>
      </x:c>
      <x:c r="C23" s="24" t="str"/>
      <x:c r="D23" s="24" t="str"/>
      <x:c r="E23" s="24" t="str"/>
      <x:c r="F23" s="24" t="str"/>
      <x:c r="G23" s="24" t="str"/>
      <x:c r="H23" s="24" t="str"/>
      <x:c r="I23" s="24" t="str"/>
      <x:c r="J23" s="24" t="str"/>
      <x:c r="K23" s="2"/>
      <x:c r="L23" s="2"/>
      <x:c r="M23" s="2"/>
      <x:c r="N23" s="2"/>
      <x:c r="O23" s="2"/>
      <x:c r="P23" s="2"/>
      <x:c r="Q23" s="2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"/>
      <x:c r="L24" s="2"/>
      <x:c r="M24" s="2"/>
      <x:c r="N24" s="2"/>
      <x:c r="O24" s="2"/>
      <x:c r="P24" s="2"/>
      <x:c r="Q24" s="2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"/>
      <x:c r="L25" s="2"/>
      <x:c r="M25" s="2"/>
      <x:c r="N25" s="2"/>
      <x:c r="O25" s="2"/>
      <x:c r="P25" s="2"/>
      <x:c r="Q25" s="2"/>
    </x:row>
    <x:row r="26">
      <x:c r="A26" s="31" t="str">
        <x:v>政策来源（用于设置本模板；申报前仍以电子税务局当期口径为准）</x:v>
      </x:c>
      <x:c r="B26" s="32"/>
      <x:c r="C26" s="32"/>
      <x:c r="D26" s="32"/>
      <x:c r="E26" s="32"/>
      <x:c r="F26" s="32"/>
      <x:c r="G26" s="32"/>
      <x:c r="H26" s="32"/>
      <x:c r="I26" s="32"/>
      <x:c r="J26" s="34"/>
      <x:c r="K26" s="2"/>
      <x:c r="L26" s="2"/>
      <x:c r="M26" s="2"/>
      <x:c r="N26" s="2"/>
      <x:c r="O26" s="2"/>
      <x:c r="P26" s="2"/>
      <x:c r="Q26" s="2"/>
    </x:row>
    <x:row r="27">
      <x:c r="A27" s="47" t="str">
        <x:v>江苏税务：财务报表原则上按季和年度报送</x:v>
      </x:c>
      <x:c r="B27" s="48" t="str">
        <x:v>https://jiangsu.chinatax.gov.cn/art/2025/12/31/art_16717_362415.html</x:v>
      </x:c>
      <x:c r="C27" s="28"/>
      <x:c r="D27" s="28"/>
      <x:c r="E27" s="28"/>
      <x:c r="F27" s="28"/>
      <x:c r="G27" s="28"/>
      <x:c r="H27" s="28"/>
      <x:c r="I27" s="28"/>
      <x:c r="J27" s="28"/>
      <x:c r="K27" s="2"/>
      <x:c r="L27" s="2"/>
      <x:c r="M27" s="2"/>
      <x:c r="N27" s="2"/>
      <x:c r="O27" s="2"/>
      <x:c r="P27" s="2"/>
      <x:c r="Q27" s="2"/>
    </x:row>
    <x:row r="28">
      <x:c r="A28" s="47" t="str">
        <x:v>税务总局：2026—2027年小规模季度起征点30万元、3%项目减按1%</x:v>
      </x:c>
      <x:c r="B28" s="48" t="str">
        <x:v>https://fgk.chinatax.gov.cn/zcfgk/c100015/c5247429/content.html</x:v>
      </x:c>
      <x:c r="C28" s="28"/>
      <x:c r="D28" s="28"/>
      <x:c r="E28" s="28"/>
      <x:c r="F28" s="28"/>
      <x:c r="G28" s="28"/>
      <x:c r="H28" s="28"/>
      <x:c r="I28" s="28"/>
      <x:c r="J28" s="28"/>
      <x:c r="K28" s="2"/>
      <x:c r="L28" s="2"/>
      <x:c r="M28" s="2"/>
      <x:c r="N28" s="2"/>
      <x:c r="O28" s="2"/>
      <x:c r="P28" s="2"/>
      <x:c r="Q28" s="2"/>
    </x:row>
    <x:row r="29">
      <x:c r="A29" s="47" t="str">
        <x:v>税务总局：小型微利企业实际企业所得税负担约5%至2027年底</x:v>
      </x:c>
      <x:c r="B29" s="48" t="str">
        <x:v>https://www.chinatax.gov.cn/chinatax/n810356/n3255681/c5240479/content.html</x:v>
      </x:c>
      <x:c r="C29" s="28"/>
      <x:c r="D29" s="28"/>
      <x:c r="E29" s="28"/>
      <x:c r="F29" s="28"/>
      <x:c r="G29" s="28"/>
      <x:c r="H29" s="28"/>
      <x:c r="I29" s="28"/>
      <x:c r="J29" s="28"/>
      <x:c r="K29" s="2"/>
      <x:c r="L29" s="2"/>
      <x:c r="M29" s="2"/>
      <x:c r="N29" s="2"/>
      <x:c r="O29" s="2"/>
      <x:c r="P29" s="2"/>
      <x:c r="Q29" s="2"/>
    </x:row>
    <x:row r="30">
      <x:c r="A30" s="47" t="str">
        <x:v>市场监管总局：实缴出资等信息20个工作日内公示</x:v>
      </x:c>
      <x:c r="B30" s="48" t="str">
        <x:v>https://www.samr.gov.cn/zw/zfxxgk/fdzdgknr/fgs/art/2024/art_6580c00811be45bfa304c1273b74e294.html</x:v>
      </x:c>
      <x:c r="C30" s="28"/>
      <x:c r="D30" s="28"/>
      <x:c r="E30" s="28"/>
      <x:c r="F30" s="28"/>
      <x:c r="G30" s="28"/>
      <x:c r="H30" s="28"/>
      <x:c r="I30" s="28"/>
      <x:c r="J30" s="28"/>
      <x:c r="K30" s="2"/>
      <x:c r="L30" s="2"/>
      <x:c r="M30" s="2"/>
      <x:c r="N30" s="2"/>
      <x:c r="O30" s="2"/>
      <x:c r="P30" s="2"/>
      <x:c r="Q30" s="2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"/>
      <x:c r="L31" s="2"/>
      <x:c r="M31" s="2"/>
      <x:c r="N31" s="2"/>
      <x:c r="O31" s="2"/>
      <x:c r="P31" s="2"/>
      <x:c r="Q31" s="2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"/>
      <x:c r="L32" s="2"/>
      <x:c r="M32" s="2"/>
      <x:c r="N32" s="2"/>
      <x:c r="O32" s="2"/>
      <x:c r="P32" s="2"/>
      <x:c r="Q32" s="2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"/>
      <x:c r="L33" s="2"/>
      <x:c r="M33" s="2"/>
      <x:c r="N33" s="2"/>
      <x:c r="O33" s="2"/>
      <x:c r="P33" s="2"/>
      <x:c r="Q33" s="2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"/>
      <x:c r="L34" s="2"/>
      <x:c r="M34" s="2"/>
      <x:c r="N34" s="2"/>
      <x:c r="O34" s="2"/>
      <x:c r="P34" s="2"/>
      <x:c r="Q34" s="2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</x:sheetData>
  <x:mergeCells>
    <x:mergeCell ref="A2:J2"/>
    <x:mergeCell ref="A5:B5"/>
    <x:mergeCell ref="D5:J5"/>
    <x:mergeCell ref="A15:J15"/>
    <x:mergeCell ref="A26:J26"/>
  </x:mergeCells>
  <x:dataValidations count="2">
    <x:dataValidation type="list" sqref="B6">
      <x:formula1>"小规模纳税人,一般纳税人"</x:formula1>
    </x:dataValidation>
    <x:dataValidation type="list" sqref="B7">
      <x:formula1>"按季,按月"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9D18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发票台账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2"/>
      <x:c r="Q3" s="2"/>
    </x:row>
    <x:row r="4" ht="30" customHeight="1">
      <x:c r="A4" s="61" t="str">
        <x:v>日期</x:v>
      </x:c>
      <x:c r="B4" s="62" t="str">
        <x:v>方向</x:v>
      </x:c>
      <x:c r="C4" s="62" t="str">
        <x:v>发票类型</x:v>
      </x:c>
      <x:c r="D4" s="62" t="str">
        <x:v>项目/合同号</x:v>
      </x:c>
      <x:c r="E4" s="62" t="str">
        <x:v>对方名称</x:v>
      </x:c>
      <x:c r="F4" s="62" t="str">
        <x:v>发票号码</x:v>
      </x:c>
      <x:c r="G4" s="62" t="str">
        <x:v>含税金额</x:v>
      </x:c>
      <x:c r="H4" s="62" t="str">
        <x:v>税率</x:v>
      </x:c>
      <x:c r="I4" s="62" t="str">
        <x:v>不含税金额</x:v>
      </x:c>
      <x:c r="J4" s="62" t="str">
        <x:v>税额</x:v>
      </x:c>
      <x:c r="K4" s="62" t="str">
        <x:v>发票状态</x:v>
      </x:c>
      <x:c r="L4" s="62" t="str">
        <x:v>收付款状态</x:v>
      </x:c>
      <x:c r="M4" s="62" t="str">
        <x:v>凭证号</x:v>
      </x:c>
      <x:c r="N4" s="62" t="str">
        <x:v>附件文件名</x:v>
      </x:c>
      <x:c r="O4" s="63" t="str">
        <x:v>备注</x:v>
      </x:c>
      <x:c r="P4" s="2"/>
      <x:c r="Q4" s="2"/>
    </x:row>
    <x:row r="5">
      <x:c r="A5" s="65" t="n">
        <x:v>46037</x:v>
      </x:c>
      <x:c r="B5" s="11" t="str">
        <x:v>销项</x:v>
      </x:c>
      <x:c r="C5" s="11" t="str">
        <x:v>数电普票</x:v>
      </x:c>
      <x:c r="D5" s="11" t="str">
        <x:v>示例-软件开发</x:v>
      </x:c>
      <x:c r="E5" s="11" t="str">
        <x:v>示例客户</x:v>
      </x:c>
      <x:c r="F5" s="11" t="str">
        <x:v>示例001</x:v>
      </x:c>
      <x:c r="G5" s="66" t="n">
        <x:v>10000</x:v>
      </x:c>
      <x:c r="H5" s="13" t="n">
        <x:v>0</x:v>
      </x:c>
      <x:c r="I5" s="67" t="n">
        <x:f>IF(G5="","",G5/(1+H5))</x:f>
        <x:v>10000</x:v>
      </x:c>
      <x:c r="J5" s="67" t="n">
        <x:f>IF(G5="","",G5-I5)</x:f>
        <x:v>0</x:v>
      </x:c>
      <x:c r="K5" s="11" t="str">
        <x:v>正常</x:v>
      </x:c>
      <x:c r="L5" s="11" t="str">
        <x:v>已收/付</x:v>
      </x:c>
      <x:c r="M5" s="11" t="str">
        <x:v>记-001</x:v>
      </x:c>
      <x:c r="N5" s="11" t="str">
        <x:v>示例001.pdf</x:v>
      </x:c>
      <x:c r="O5" s="11" t="str">
        <x:v>季度未达起征点时普通票免税示例；请覆盖</x:v>
      </x:c>
      <x:c r="P5" s="2"/>
      <x:c r="Q5" s="2"/>
    </x:row>
    <x:row r="6">
      <x:c r="A6" s="65" t="n">
        <x:v>46042</x:v>
      </x:c>
      <x:c r="B6" s="11" t="str">
        <x:v>进项</x:v>
      </x:c>
      <x:c r="C6" s="11" t="str">
        <x:v>数电普票</x:v>
      </x:c>
      <x:c r="D6" s="11" t="str">
        <x:v>示例-软件开发</x:v>
      </x:c>
      <x:c r="E6" s="11" t="str">
        <x:v>示例供应商</x:v>
      </x:c>
      <x:c r="F6" s="11" t="str">
        <x:v>示例002</x:v>
      </x:c>
      <x:c r="G6" s="66" t="n">
        <x:v>500</x:v>
      </x:c>
      <x:c r="H6" s="13" t="n">
        <x:v>0.01</x:v>
      </x:c>
      <x:c r="I6" s="67" t="n">
        <x:f>IF(G6="","",G6/(1+H6))</x:f>
        <x:v>495.049504950495</x:v>
      </x:c>
      <x:c r="J6" s="67" t="n">
        <x:f>IF(G6="","",G6-I6)</x:f>
        <x:v>4.95049504950498</x:v>
      </x:c>
      <x:c r="K6" s="11" t="str">
        <x:v>正常</x:v>
      </x:c>
      <x:c r="L6" s="11" t="str">
        <x:v>已收/付</x:v>
      </x:c>
      <x:c r="M6" s="11" t="str">
        <x:v>记-002</x:v>
      </x:c>
      <x:c r="N6" s="11" t="str">
        <x:v>示例002.pdf</x:v>
      </x:c>
      <x:c r="O6" s="11" t="str">
        <x:v>小规模进项税一般不抵扣；请覆盖</x:v>
      </x:c>
      <x:c r="P6" s="2"/>
      <x:c r="Q6" s="2"/>
    </x:row>
    <x:row r="7">
      <x:c r="A7" s="65"/>
      <x:c r="B7" s="11"/>
      <x:c r="C7" s="11"/>
      <x:c r="D7" s="11"/>
      <x:c r="E7" s="11"/>
      <x:c r="F7" s="11"/>
      <x:c r="G7" s="66"/>
      <x:c r="H7" s="13"/>
      <x:c r="I7" s="67" t="str">
        <x:f>IF(G7="","",G7/(1+H7))</x:f>
      </x:c>
      <x:c r="J7" s="67" t="str">
        <x:f>IF(G7="","",G7-I7)</x:f>
      </x:c>
      <x:c r="K7" s="11"/>
      <x:c r="L7" s="11"/>
      <x:c r="M7" s="11"/>
      <x:c r="N7" s="11"/>
      <x:c r="O7" s="11"/>
      <x:c r="P7" s="2"/>
      <x:c r="Q7" s="2"/>
    </x:row>
    <x:row r="8">
      <x:c r="A8" s="65"/>
      <x:c r="B8" s="11"/>
      <x:c r="C8" s="11"/>
      <x:c r="D8" s="11"/>
      <x:c r="E8" s="11"/>
      <x:c r="F8" s="11"/>
      <x:c r="G8" s="66"/>
      <x:c r="H8" s="13"/>
      <x:c r="I8" s="67" t="str">
        <x:f>IF(G8="","",G8/(1+H8))</x:f>
      </x:c>
      <x:c r="J8" s="67" t="str">
        <x:f>IF(G8="","",G8-I8)</x:f>
      </x:c>
      <x:c r="K8" s="11"/>
      <x:c r="L8" s="11"/>
      <x:c r="M8" s="11"/>
      <x:c r="N8" s="11"/>
      <x:c r="O8" s="11"/>
      <x:c r="P8" s="2"/>
      <x:c r="Q8" s="2"/>
    </x:row>
    <x:row r="9">
      <x:c r="A9" s="65"/>
      <x:c r="B9" s="11"/>
      <x:c r="C9" s="11"/>
      <x:c r="D9" s="11"/>
      <x:c r="E9" s="11"/>
      <x:c r="F9" s="11"/>
      <x:c r="G9" s="66"/>
      <x:c r="H9" s="13"/>
      <x:c r="I9" s="67" t="str">
        <x:f>IF(G9="","",G9/(1+H9))</x:f>
      </x:c>
      <x:c r="J9" s="67" t="str">
        <x:f>IF(G9="","",G9-I9)</x:f>
      </x:c>
      <x:c r="K9" s="11"/>
      <x:c r="L9" s="11"/>
      <x:c r="M9" s="11"/>
      <x:c r="N9" s="11"/>
      <x:c r="O9" s="11"/>
      <x:c r="P9" s="2"/>
      <x:c r="Q9" s="2"/>
    </x:row>
    <x:row r="10">
      <x:c r="A10" s="65"/>
      <x:c r="B10" s="11"/>
      <x:c r="C10" s="11"/>
      <x:c r="D10" s="11"/>
      <x:c r="E10" s="11"/>
      <x:c r="F10" s="11"/>
      <x:c r="G10" s="66"/>
      <x:c r="H10" s="13"/>
      <x:c r="I10" s="67" t="str">
        <x:f>IF(G10="","",G10/(1+H10))</x:f>
      </x:c>
      <x:c r="J10" s="67" t="str">
        <x:f>IF(G10="","",G10-I10)</x:f>
      </x:c>
      <x:c r="K10" s="11"/>
      <x:c r="L10" s="11"/>
      <x:c r="M10" s="11"/>
      <x:c r="N10" s="11"/>
      <x:c r="O10" s="11"/>
      <x:c r="P10" s="2"/>
      <x:c r="Q10" s="2"/>
    </x:row>
    <x:row r="11">
      <x:c r="A11" s="65"/>
      <x:c r="B11" s="11"/>
      <x:c r="C11" s="11"/>
      <x:c r="D11" s="11"/>
      <x:c r="E11" s="11"/>
      <x:c r="F11" s="11"/>
      <x:c r="G11" s="66"/>
      <x:c r="H11" s="13"/>
      <x:c r="I11" s="67" t="str">
        <x:f>IF(G11="","",G11/(1+H11))</x:f>
      </x:c>
      <x:c r="J11" s="67" t="str">
        <x:f>IF(G11="","",G11-I11)</x:f>
      </x:c>
      <x:c r="K11" s="11"/>
      <x:c r="L11" s="11"/>
      <x:c r="M11" s="11"/>
      <x:c r="N11" s="11"/>
      <x:c r="O11" s="11"/>
      <x:c r="P11" s="2"/>
      <x:c r="Q11" s="2"/>
    </x:row>
    <x:row r="12">
      <x:c r="A12" s="65"/>
      <x:c r="B12" s="11"/>
      <x:c r="C12" s="11"/>
      <x:c r="D12" s="11"/>
      <x:c r="E12" s="11"/>
      <x:c r="F12" s="11"/>
      <x:c r="G12" s="66"/>
      <x:c r="H12" s="13"/>
      <x:c r="I12" s="67" t="str">
        <x:f>IF(G12="","",G12/(1+H12))</x:f>
      </x:c>
      <x:c r="J12" s="67" t="str">
        <x:f>IF(G12="","",G12-I12)</x:f>
      </x:c>
      <x:c r="K12" s="11"/>
      <x:c r="L12" s="11"/>
      <x:c r="M12" s="11"/>
      <x:c r="N12" s="11"/>
      <x:c r="O12" s="11"/>
      <x:c r="P12" s="2"/>
      <x:c r="Q12" s="2"/>
    </x:row>
    <x:row r="13">
      <x:c r="A13" s="65"/>
      <x:c r="B13" s="11"/>
      <x:c r="C13" s="11"/>
      <x:c r="D13" s="11"/>
      <x:c r="E13" s="11"/>
      <x:c r="F13" s="11"/>
      <x:c r="G13" s="66"/>
      <x:c r="H13" s="13"/>
      <x:c r="I13" s="67" t="str">
        <x:f>IF(G13="","",G13/(1+H13))</x:f>
      </x:c>
      <x:c r="J13" s="67" t="str">
        <x:f>IF(G13="","",G13-I13)</x:f>
      </x:c>
      <x:c r="K13" s="11"/>
      <x:c r="L13" s="11"/>
      <x:c r="M13" s="11"/>
      <x:c r="N13" s="11"/>
      <x:c r="O13" s="11"/>
      <x:c r="P13" s="2"/>
      <x:c r="Q13" s="2"/>
    </x:row>
    <x:row r="14">
      <x:c r="A14" s="65"/>
      <x:c r="B14" s="11"/>
      <x:c r="C14" s="11"/>
      <x:c r="D14" s="11"/>
      <x:c r="E14" s="11"/>
      <x:c r="F14" s="11"/>
      <x:c r="G14" s="66"/>
      <x:c r="H14" s="13"/>
      <x:c r="I14" s="67" t="str">
        <x:f>IF(G14="","",G14/(1+H14))</x:f>
      </x:c>
      <x:c r="J14" s="67" t="str">
        <x:f>IF(G14="","",G14-I14)</x:f>
      </x:c>
      <x:c r="K14" s="11"/>
      <x:c r="L14" s="11"/>
      <x:c r="M14" s="11"/>
      <x:c r="N14" s="11"/>
      <x:c r="O14" s="11"/>
      <x:c r="P14" s="2"/>
      <x:c r="Q14" s="2"/>
    </x:row>
    <x:row r="15">
      <x:c r="A15" s="65"/>
      <x:c r="B15" s="11"/>
      <x:c r="C15" s="11"/>
      <x:c r="D15" s="11"/>
      <x:c r="E15" s="11"/>
      <x:c r="F15" s="11"/>
      <x:c r="G15" s="66"/>
      <x:c r="H15" s="13"/>
      <x:c r="I15" s="67" t="str">
        <x:f>IF(G15="","",G15/(1+H15))</x:f>
      </x:c>
      <x:c r="J15" s="67" t="str">
        <x:f>IF(G15="","",G15-I15)</x:f>
      </x:c>
      <x:c r="K15" s="11"/>
      <x:c r="L15" s="11"/>
      <x:c r="M15" s="11"/>
      <x:c r="N15" s="11"/>
      <x:c r="O15" s="11"/>
      <x:c r="P15" s="2"/>
      <x:c r="Q15" s="2"/>
    </x:row>
    <x:row r="16">
      <x:c r="A16" s="65"/>
      <x:c r="B16" s="11"/>
      <x:c r="C16" s="11"/>
      <x:c r="D16" s="11"/>
      <x:c r="E16" s="11"/>
      <x:c r="F16" s="11"/>
      <x:c r="G16" s="66"/>
      <x:c r="H16" s="13"/>
      <x:c r="I16" s="67" t="str">
        <x:f>IF(G16="","",G16/(1+H16))</x:f>
      </x:c>
      <x:c r="J16" s="67" t="str">
        <x:f>IF(G16="","",G16-I16)</x:f>
      </x:c>
      <x:c r="K16" s="11"/>
      <x:c r="L16" s="11"/>
      <x:c r="M16" s="11"/>
      <x:c r="N16" s="11"/>
      <x:c r="O16" s="11"/>
      <x:c r="P16" s="2"/>
      <x:c r="Q16" s="2"/>
    </x:row>
    <x:row r="17">
      <x:c r="A17" s="65"/>
      <x:c r="B17" s="11"/>
      <x:c r="C17" s="11"/>
      <x:c r="D17" s="11"/>
      <x:c r="E17" s="11"/>
      <x:c r="F17" s="11"/>
      <x:c r="G17" s="66"/>
      <x:c r="H17" s="13"/>
      <x:c r="I17" s="67" t="str">
        <x:f>IF(G17="","",G17/(1+H17))</x:f>
      </x:c>
      <x:c r="J17" s="67" t="str">
        <x:f>IF(G17="","",G17-I17)</x:f>
      </x:c>
      <x:c r="K17" s="11"/>
      <x:c r="L17" s="11"/>
      <x:c r="M17" s="11"/>
      <x:c r="N17" s="11"/>
      <x:c r="O17" s="11"/>
      <x:c r="P17" s="2"/>
      <x:c r="Q17" s="2"/>
    </x:row>
    <x:row r="18">
      <x:c r="A18" s="65"/>
      <x:c r="B18" s="11"/>
      <x:c r="C18" s="11"/>
      <x:c r="D18" s="11"/>
      <x:c r="E18" s="11"/>
      <x:c r="F18" s="11"/>
      <x:c r="G18" s="66"/>
      <x:c r="H18" s="13"/>
      <x:c r="I18" s="67" t="str">
        <x:f>IF(G18="","",G18/(1+H18))</x:f>
      </x:c>
      <x:c r="J18" s="67" t="str">
        <x:f>IF(G18="","",G18-I18)</x:f>
      </x:c>
      <x:c r="K18" s="11"/>
      <x:c r="L18" s="11"/>
      <x:c r="M18" s="11"/>
      <x:c r="N18" s="11"/>
      <x:c r="O18" s="11"/>
      <x:c r="P18" s="2"/>
      <x:c r="Q18" s="2"/>
    </x:row>
    <x:row r="19">
      <x:c r="A19" s="65"/>
      <x:c r="B19" s="11"/>
      <x:c r="C19" s="11"/>
      <x:c r="D19" s="11"/>
      <x:c r="E19" s="11"/>
      <x:c r="F19" s="11"/>
      <x:c r="G19" s="66"/>
      <x:c r="H19" s="13"/>
      <x:c r="I19" s="67" t="str">
        <x:f>IF(G19="","",G19/(1+H19))</x:f>
      </x:c>
      <x:c r="J19" s="67" t="str">
        <x:f>IF(G19="","",G19-I19)</x:f>
      </x:c>
      <x:c r="K19" s="11"/>
      <x:c r="L19" s="11"/>
      <x:c r="M19" s="11"/>
      <x:c r="N19" s="11"/>
      <x:c r="O19" s="11"/>
      <x:c r="P19" s="2"/>
      <x:c r="Q19" s="2"/>
    </x:row>
    <x:row r="20">
      <x:c r="A20" s="65"/>
      <x:c r="B20" s="11"/>
      <x:c r="C20" s="11"/>
      <x:c r="D20" s="11"/>
      <x:c r="E20" s="11"/>
      <x:c r="F20" s="11"/>
      <x:c r="G20" s="66"/>
      <x:c r="H20" s="13"/>
      <x:c r="I20" s="67" t="str">
        <x:f>IF(G20="","",G20/(1+H20))</x:f>
      </x:c>
      <x:c r="J20" s="67" t="str">
        <x:f>IF(G20="","",G20-I20)</x:f>
      </x:c>
      <x:c r="K20" s="11"/>
      <x:c r="L20" s="11"/>
      <x:c r="M20" s="11"/>
      <x:c r="N20" s="11"/>
      <x:c r="O20" s="11"/>
      <x:c r="P20" s="2"/>
      <x:c r="Q20" s="2"/>
    </x:row>
    <x:row r="21">
      <x:c r="A21" s="65"/>
      <x:c r="B21" s="11"/>
      <x:c r="C21" s="11"/>
      <x:c r="D21" s="11"/>
      <x:c r="E21" s="11"/>
      <x:c r="F21" s="11"/>
      <x:c r="G21" s="66"/>
      <x:c r="H21" s="13"/>
      <x:c r="I21" s="67" t="str">
        <x:f>IF(G21="","",G21/(1+H21))</x:f>
      </x:c>
      <x:c r="J21" s="67" t="str">
        <x:f>IF(G21="","",G21-I21)</x:f>
      </x:c>
      <x:c r="K21" s="11"/>
      <x:c r="L21" s="11"/>
      <x:c r="M21" s="11"/>
      <x:c r="N21" s="11"/>
      <x:c r="O21" s="11"/>
      <x:c r="P21" s="2"/>
      <x:c r="Q21" s="2"/>
    </x:row>
    <x:row r="22">
      <x:c r="A22" s="65"/>
      <x:c r="B22" s="11"/>
      <x:c r="C22" s="11"/>
      <x:c r="D22" s="11"/>
      <x:c r="E22" s="11"/>
      <x:c r="F22" s="11"/>
      <x:c r="G22" s="66"/>
      <x:c r="H22" s="13"/>
      <x:c r="I22" s="67" t="str">
        <x:f>IF(G22="","",G22/(1+H22))</x:f>
      </x:c>
      <x:c r="J22" s="67" t="str">
        <x:f>IF(G22="","",G22-I22)</x:f>
      </x:c>
      <x:c r="K22" s="11"/>
      <x:c r="L22" s="11"/>
      <x:c r="M22" s="11"/>
      <x:c r="N22" s="11"/>
      <x:c r="O22" s="11"/>
      <x:c r="P22" s="2"/>
      <x:c r="Q22" s="2"/>
    </x:row>
    <x:row r="23">
      <x:c r="A23" s="65"/>
      <x:c r="B23" s="11"/>
      <x:c r="C23" s="11"/>
      <x:c r="D23" s="11"/>
      <x:c r="E23" s="11"/>
      <x:c r="F23" s="11"/>
      <x:c r="G23" s="66"/>
      <x:c r="H23" s="13"/>
      <x:c r="I23" s="67" t="str">
        <x:f>IF(G23="","",G23/(1+H23))</x:f>
      </x:c>
      <x:c r="J23" s="67" t="str">
        <x:f>IF(G23="","",G23-I23)</x:f>
      </x:c>
      <x:c r="K23" s="11"/>
      <x:c r="L23" s="11"/>
      <x:c r="M23" s="11"/>
      <x:c r="N23" s="11"/>
      <x:c r="O23" s="11"/>
      <x:c r="P23" s="2"/>
      <x:c r="Q23" s="2"/>
    </x:row>
    <x:row r="24">
      <x:c r="A24" s="65"/>
      <x:c r="B24" s="11"/>
      <x:c r="C24" s="11"/>
      <x:c r="D24" s="11"/>
      <x:c r="E24" s="11"/>
      <x:c r="F24" s="11"/>
      <x:c r="G24" s="66"/>
      <x:c r="H24" s="13"/>
      <x:c r="I24" s="67" t="str">
        <x:f>IF(G24="","",G24/(1+H24))</x:f>
      </x:c>
      <x:c r="J24" s="67" t="str">
        <x:f>IF(G24="","",G24-I24)</x:f>
      </x:c>
      <x:c r="K24" s="11"/>
      <x:c r="L24" s="11"/>
      <x:c r="M24" s="11"/>
      <x:c r="N24" s="11"/>
      <x:c r="O24" s="11"/>
      <x:c r="P24" s="2"/>
      <x:c r="Q24" s="2"/>
    </x:row>
    <x:row r="25">
      <x:c r="A25" s="65"/>
      <x:c r="B25" s="11"/>
      <x:c r="C25" s="11"/>
      <x:c r="D25" s="11"/>
      <x:c r="E25" s="11"/>
      <x:c r="F25" s="11"/>
      <x:c r="G25" s="66"/>
      <x:c r="H25" s="13"/>
      <x:c r="I25" s="67" t="str">
        <x:f>IF(G25="","",G25/(1+H25))</x:f>
      </x:c>
      <x:c r="J25" s="67" t="str">
        <x:f>IF(G25="","",G25-I25)</x:f>
      </x:c>
      <x:c r="K25" s="11"/>
      <x:c r="L25" s="11"/>
      <x:c r="M25" s="11"/>
      <x:c r="N25" s="11"/>
      <x:c r="O25" s="11"/>
      <x:c r="P25" s="2"/>
      <x:c r="Q25" s="2"/>
    </x:row>
    <x:row r="26">
      <x:c r="A26" s="65"/>
      <x:c r="B26" s="11"/>
      <x:c r="C26" s="11"/>
      <x:c r="D26" s="11"/>
      <x:c r="E26" s="11"/>
      <x:c r="F26" s="11"/>
      <x:c r="G26" s="66"/>
      <x:c r="H26" s="13"/>
      <x:c r="I26" s="67" t="str">
        <x:f>IF(G26="","",G26/(1+H26))</x:f>
      </x:c>
      <x:c r="J26" s="67" t="str">
        <x:f>IF(G26="","",G26-I26)</x:f>
      </x:c>
      <x:c r="K26" s="11"/>
      <x:c r="L26" s="11"/>
      <x:c r="M26" s="11"/>
      <x:c r="N26" s="11"/>
      <x:c r="O26" s="11"/>
      <x:c r="P26" s="2"/>
      <x:c r="Q26" s="2"/>
    </x:row>
    <x:row r="27">
      <x:c r="A27" s="65"/>
      <x:c r="B27" s="11"/>
      <x:c r="C27" s="11"/>
      <x:c r="D27" s="11"/>
      <x:c r="E27" s="11"/>
      <x:c r="F27" s="11"/>
      <x:c r="G27" s="66"/>
      <x:c r="H27" s="13"/>
      <x:c r="I27" s="67" t="str">
        <x:f>IF(G27="","",G27/(1+H27))</x:f>
      </x:c>
      <x:c r="J27" s="67" t="str">
        <x:f>IF(G27="","",G27-I27)</x:f>
      </x:c>
      <x:c r="K27" s="11"/>
      <x:c r="L27" s="11"/>
      <x:c r="M27" s="11"/>
      <x:c r="N27" s="11"/>
      <x:c r="O27" s="11"/>
      <x:c r="P27" s="2"/>
      <x:c r="Q27" s="2"/>
    </x:row>
    <x:row r="28">
      <x:c r="A28" s="65"/>
      <x:c r="B28" s="11"/>
      <x:c r="C28" s="11"/>
      <x:c r="D28" s="11"/>
      <x:c r="E28" s="11"/>
      <x:c r="F28" s="11"/>
      <x:c r="G28" s="66"/>
      <x:c r="H28" s="13"/>
      <x:c r="I28" s="67" t="str">
        <x:f>IF(G28="","",G28/(1+H28))</x:f>
      </x:c>
      <x:c r="J28" s="67" t="str">
        <x:f>IF(G28="","",G28-I28)</x:f>
      </x:c>
      <x:c r="K28" s="11"/>
      <x:c r="L28" s="11"/>
      <x:c r="M28" s="11"/>
      <x:c r="N28" s="11"/>
      <x:c r="O28" s="11"/>
      <x:c r="P28" s="2"/>
      <x:c r="Q28" s="2"/>
    </x:row>
    <x:row r="29">
      <x:c r="A29" s="65"/>
      <x:c r="B29" s="11"/>
      <x:c r="C29" s="11"/>
      <x:c r="D29" s="11"/>
      <x:c r="E29" s="11"/>
      <x:c r="F29" s="11"/>
      <x:c r="G29" s="66"/>
      <x:c r="H29" s="13"/>
      <x:c r="I29" s="67" t="str">
        <x:f>IF(G29="","",G29/(1+H29))</x:f>
      </x:c>
      <x:c r="J29" s="67" t="str">
        <x:f>IF(G29="","",G29-I29)</x:f>
      </x:c>
      <x:c r="K29" s="11"/>
      <x:c r="L29" s="11"/>
      <x:c r="M29" s="11"/>
      <x:c r="N29" s="11"/>
      <x:c r="O29" s="11"/>
      <x:c r="P29" s="2"/>
      <x:c r="Q29" s="2"/>
    </x:row>
    <x:row r="30">
      <x:c r="A30" s="65"/>
      <x:c r="B30" s="11"/>
      <x:c r="C30" s="11"/>
      <x:c r="D30" s="11"/>
      <x:c r="E30" s="11"/>
      <x:c r="F30" s="11"/>
      <x:c r="G30" s="66"/>
      <x:c r="H30" s="13"/>
      <x:c r="I30" s="67" t="str">
        <x:f>IF(G30="","",G30/(1+H30))</x:f>
      </x:c>
      <x:c r="J30" s="67" t="str">
        <x:f>IF(G30="","",G30-I30)</x:f>
      </x:c>
      <x:c r="K30" s="11"/>
      <x:c r="L30" s="11"/>
      <x:c r="M30" s="11"/>
      <x:c r="N30" s="11"/>
      <x:c r="O30" s="11"/>
      <x:c r="P30" s="2"/>
      <x:c r="Q30" s="2"/>
    </x:row>
    <x:row r="31">
      <x:c r="A31" s="65"/>
      <x:c r="B31" s="11"/>
      <x:c r="C31" s="11"/>
      <x:c r="D31" s="11"/>
      <x:c r="E31" s="11"/>
      <x:c r="F31" s="11"/>
      <x:c r="G31" s="66"/>
      <x:c r="H31" s="13"/>
      <x:c r="I31" s="67" t="str">
        <x:f>IF(G31="","",G31/(1+H31))</x:f>
      </x:c>
      <x:c r="J31" s="67" t="str">
        <x:f>IF(G31="","",G31-I31)</x:f>
      </x:c>
      <x:c r="K31" s="11"/>
      <x:c r="L31" s="11"/>
      <x:c r="M31" s="11"/>
      <x:c r="N31" s="11"/>
      <x:c r="O31" s="11"/>
      <x:c r="P31" s="2"/>
      <x:c r="Q31" s="2"/>
    </x:row>
    <x:row r="32">
      <x:c r="A32" s="65"/>
      <x:c r="B32" s="11"/>
      <x:c r="C32" s="11"/>
      <x:c r="D32" s="11"/>
      <x:c r="E32" s="11"/>
      <x:c r="F32" s="11"/>
      <x:c r="G32" s="66"/>
      <x:c r="H32" s="13"/>
      <x:c r="I32" s="67" t="str">
        <x:f>IF(G32="","",G32/(1+H32))</x:f>
      </x:c>
      <x:c r="J32" s="67" t="str">
        <x:f>IF(G32="","",G32-I32)</x:f>
      </x:c>
      <x:c r="K32" s="11"/>
      <x:c r="L32" s="11"/>
      <x:c r="M32" s="11"/>
      <x:c r="N32" s="11"/>
      <x:c r="O32" s="11"/>
      <x:c r="P32" s="2"/>
      <x:c r="Q32" s="2"/>
    </x:row>
    <x:row r="33">
      <x:c r="A33" s="65"/>
      <x:c r="B33" s="11"/>
      <x:c r="C33" s="11"/>
      <x:c r="D33" s="11"/>
      <x:c r="E33" s="11"/>
      <x:c r="F33" s="11"/>
      <x:c r="G33" s="66"/>
      <x:c r="H33" s="13"/>
      <x:c r="I33" s="67" t="str">
        <x:f>IF(G33="","",G33/(1+H33))</x:f>
      </x:c>
      <x:c r="J33" s="67" t="str">
        <x:f>IF(G33="","",G33-I33)</x:f>
      </x:c>
      <x:c r="K33" s="11"/>
      <x:c r="L33" s="11"/>
      <x:c r="M33" s="11"/>
      <x:c r="N33" s="11"/>
      <x:c r="O33" s="11"/>
      <x:c r="P33" s="2"/>
      <x:c r="Q33" s="2"/>
    </x:row>
    <x:row r="34">
      <x:c r="A34" s="65"/>
      <x:c r="B34" s="11"/>
      <x:c r="C34" s="11"/>
      <x:c r="D34" s="11"/>
      <x:c r="E34" s="11"/>
      <x:c r="F34" s="11"/>
      <x:c r="G34" s="66"/>
      <x:c r="H34" s="13"/>
      <x:c r="I34" s="67" t="str">
        <x:f>IF(G34="","",G34/(1+H34))</x:f>
      </x:c>
      <x:c r="J34" s="67" t="str">
        <x:f>IF(G34="","",G34-I34)</x:f>
      </x:c>
      <x:c r="K34" s="11"/>
      <x:c r="L34" s="11"/>
      <x:c r="M34" s="11"/>
      <x:c r="N34" s="11"/>
      <x:c r="O34" s="11"/>
      <x:c r="P34" s="2"/>
      <x:c r="Q34" s="2"/>
    </x:row>
    <x:row r="35">
      <x:c r="A35" s="65"/>
      <x:c r="B35" s="11"/>
      <x:c r="C35" s="11"/>
      <x:c r="D35" s="11"/>
      <x:c r="E35" s="11"/>
      <x:c r="F35" s="11"/>
      <x:c r="G35" s="66"/>
      <x:c r="H35" s="13"/>
      <x:c r="I35" s="67" t="str">
        <x:f>IF(G35="","",G35/(1+H35))</x:f>
      </x:c>
      <x:c r="J35" s="67" t="str">
        <x:f>IF(G35="","",G35-I35)</x:f>
      </x:c>
      <x:c r="K35" s="11"/>
      <x:c r="L35" s="11"/>
      <x:c r="M35" s="11"/>
      <x:c r="N35" s="11"/>
      <x:c r="O35" s="11"/>
      <x:c r="P35" s="2"/>
      <x:c r="Q35" s="2"/>
    </x:row>
    <x:row r="36">
      <x:c r="A36" s="65"/>
      <x:c r="B36" s="11"/>
      <x:c r="C36" s="11"/>
      <x:c r="D36" s="11"/>
      <x:c r="E36" s="11"/>
      <x:c r="F36" s="11"/>
      <x:c r="G36" s="66"/>
      <x:c r="H36" s="13"/>
      <x:c r="I36" s="67" t="str">
        <x:f>IF(G36="","",G36/(1+H36))</x:f>
      </x:c>
      <x:c r="J36" s="67" t="str">
        <x:f>IF(G36="","",G36-I36)</x:f>
      </x:c>
      <x:c r="K36" s="11"/>
      <x:c r="L36" s="11"/>
      <x:c r="M36" s="11"/>
      <x:c r="N36" s="11"/>
      <x:c r="O36" s="11"/>
      <x:c r="P36" s="2"/>
      <x:c r="Q36" s="2"/>
    </x:row>
    <x:row r="37">
      <x:c r="A37" s="65"/>
      <x:c r="B37" s="11"/>
      <x:c r="C37" s="11"/>
      <x:c r="D37" s="11"/>
      <x:c r="E37" s="11"/>
      <x:c r="F37" s="11"/>
      <x:c r="G37" s="66"/>
      <x:c r="H37" s="13"/>
      <x:c r="I37" s="67" t="str">
        <x:f>IF(G37="","",G37/(1+H37))</x:f>
      </x:c>
      <x:c r="J37" s="67" t="str">
        <x:f>IF(G37="","",G37-I37)</x:f>
      </x:c>
      <x:c r="K37" s="11"/>
      <x:c r="L37" s="11"/>
      <x:c r="M37" s="11"/>
      <x:c r="N37" s="11"/>
      <x:c r="O37" s="11"/>
      <x:c r="P37" s="2"/>
      <x:c r="Q37" s="2"/>
    </x:row>
    <x:row r="38">
      <x:c r="A38" s="65"/>
      <x:c r="B38" s="11"/>
      <x:c r="C38" s="11"/>
      <x:c r="D38" s="11"/>
      <x:c r="E38" s="11"/>
      <x:c r="F38" s="11"/>
      <x:c r="G38" s="66"/>
      <x:c r="H38" s="13"/>
      <x:c r="I38" s="67" t="str">
        <x:f>IF(G38="","",G38/(1+H38))</x:f>
      </x:c>
      <x:c r="J38" s="67" t="str">
        <x:f>IF(G38="","",G38-I38)</x:f>
      </x:c>
      <x:c r="K38" s="11"/>
      <x:c r="L38" s="11"/>
      <x:c r="M38" s="11"/>
      <x:c r="N38" s="11"/>
      <x:c r="O38" s="11"/>
      <x:c r="P38" s="2"/>
      <x:c r="Q38" s="2"/>
    </x:row>
    <x:row r="39">
      <x:c r="A39" s="65"/>
      <x:c r="B39" s="11"/>
      <x:c r="C39" s="11"/>
      <x:c r="D39" s="11"/>
      <x:c r="E39" s="11"/>
      <x:c r="F39" s="11"/>
      <x:c r="G39" s="66"/>
      <x:c r="H39" s="13"/>
      <x:c r="I39" s="67" t="str">
        <x:f>IF(G39="","",G39/(1+H39))</x:f>
      </x:c>
      <x:c r="J39" s="67" t="str">
        <x:f>IF(G39="","",G39-I39)</x:f>
      </x:c>
      <x:c r="K39" s="11"/>
      <x:c r="L39" s="11"/>
      <x:c r="M39" s="11"/>
      <x:c r="N39" s="11"/>
      <x:c r="O39" s="11"/>
      <x:c r="P39" s="2"/>
      <x:c r="Q39" s="2"/>
    </x:row>
    <x:row r="40">
      <x:c r="A40" s="65"/>
      <x:c r="B40" s="11"/>
      <x:c r="C40" s="11"/>
      <x:c r="D40" s="11"/>
      <x:c r="E40" s="11"/>
      <x:c r="F40" s="11"/>
      <x:c r="G40" s="66"/>
      <x:c r="H40" s="13"/>
      <x:c r="I40" s="67" t="str">
        <x:f>IF(G40="","",G40/(1+H40))</x:f>
      </x:c>
      <x:c r="J40" s="67" t="str">
        <x:f>IF(G40="","",G40-I40)</x:f>
      </x:c>
      <x:c r="K40" s="11"/>
      <x:c r="L40" s="11"/>
      <x:c r="M40" s="11"/>
      <x:c r="N40" s="11"/>
      <x:c r="O40" s="11"/>
      <x:c r="P40" s="2"/>
      <x:c r="Q40" s="2"/>
    </x:row>
    <x:row r="41">
      <x:c r="A41" s="65"/>
      <x:c r="B41" s="11"/>
      <x:c r="C41" s="11"/>
      <x:c r="D41" s="11"/>
      <x:c r="E41" s="11"/>
      <x:c r="F41" s="11"/>
      <x:c r="G41" s="66"/>
      <x:c r="H41" s="13"/>
      <x:c r="I41" s="67" t="str">
        <x:f>IF(G41="","",G41/(1+H41))</x:f>
      </x:c>
      <x:c r="J41" s="67" t="str">
        <x:f>IF(G41="","",G41-I41)</x:f>
      </x:c>
      <x:c r="K41" s="11"/>
      <x:c r="L41" s="11"/>
      <x:c r="M41" s="11"/>
      <x:c r="N41" s="11"/>
      <x:c r="O41" s="11"/>
      <x:c r="P41" s="2"/>
      <x:c r="Q41" s="2"/>
    </x:row>
    <x:row r="42">
      <x:c r="A42" s="65"/>
      <x:c r="B42" s="11"/>
      <x:c r="C42" s="11"/>
      <x:c r="D42" s="11"/>
      <x:c r="E42" s="11"/>
      <x:c r="F42" s="11"/>
      <x:c r="G42" s="66"/>
      <x:c r="H42" s="13"/>
      <x:c r="I42" s="67" t="str">
        <x:f>IF(G42="","",G42/(1+H42))</x:f>
      </x:c>
      <x:c r="J42" s="67" t="str">
        <x:f>IF(G42="","",G42-I42)</x:f>
      </x:c>
      <x:c r="K42" s="11"/>
      <x:c r="L42" s="11"/>
      <x:c r="M42" s="11"/>
      <x:c r="N42" s="11"/>
      <x:c r="O42" s="11"/>
      <x:c r="P42" s="2"/>
      <x:c r="Q42" s="2"/>
    </x:row>
    <x:row r="43">
      <x:c r="A43" s="65"/>
      <x:c r="B43" s="11"/>
      <x:c r="C43" s="11"/>
      <x:c r="D43" s="11"/>
      <x:c r="E43" s="11"/>
      <x:c r="F43" s="11"/>
      <x:c r="G43" s="66"/>
      <x:c r="H43" s="13"/>
      <x:c r="I43" s="67" t="str">
        <x:f>IF(G43="","",G43/(1+H43))</x:f>
      </x:c>
      <x:c r="J43" s="67" t="str">
        <x:f>IF(G43="","",G43-I43)</x:f>
      </x:c>
      <x:c r="K43" s="11"/>
      <x:c r="L43" s="11"/>
      <x:c r="M43" s="11"/>
      <x:c r="N43" s="11"/>
      <x:c r="O43" s="11"/>
      <x:c r="P43" s="2"/>
      <x:c r="Q43" s="2"/>
    </x:row>
    <x:row r="44">
      <x:c r="A44" s="65"/>
      <x:c r="B44" s="11"/>
      <x:c r="C44" s="11"/>
      <x:c r="D44" s="11"/>
      <x:c r="E44" s="11"/>
      <x:c r="F44" s="11"/>
      <x:c r="G44" s="66"/>
      <x:c r="H44" s="13"/>
      <x:c r="I44" s="67" t="str">
        <x:f>IF(G44="","",G44/(1+H44))</x:f>
      </x:c>
      <x:c r="J44" s="67" t="str">
        <x:f>IF(G44="","",G44-I44)</x:f>
      </x:c>
      <x:c r="K44" s="11"/>
      <x:c r="L44" s="11"/>
      <x:c r="M44" s="11"/>
      <x:c r="N44" s="11"/>
      <x:c r="O44" s="11"/>
      <x:c r="P44" s="2"/>
      <x:c r="Q44" s="2"/>
    </x:row>
    <x:row r="45">
      <x:c r="A45" s="65"/>
      <x:c r="B45" s="11"/>
      <x:c r="C45" s="11"/>
      <x:c r="D45" s="11"/>
      <x:c r="E45" s="11"/>
      <x:c r="F45" s="11"/>
      <x:c r="G45" s="66"/>
      <x:c r="H45" s="13"/>
      <x:c r="I45" s="67" t="str">
        <x:f>IF(G45="","",G45/(1+H45))</x:f>
      </x:c>
      <x:c r="J45" s="67" t="str">
        <x:f>IF(G45="","",G45-I45)</x:f>
      </x:c>
      <x:c r="K45" s="11"/>
      <x:c r="L45" s="11"/>
      <x:c r="M45" s="11"/>
      <x:c r="N45" s="11"/>
      <x:c r="O45" s="11"/>
      <x:c r="P45" s="2"/>
      <x:c r="Q45" s="2"/>
    </x:row>
    <x:row r="46">
      <x:c r="A46" s="65"/>
      <x:c r="B46" s="11"/>
      <x:c r="C46" s="11"/>
      <x:c r="D46" s="11"/>
      <x:c r="E46" s="11"/>
      <x:c r="F46" s="11"/>
      <x:c r="G46" s="66"/>
      <x:c r="H46" s="13"/>
      <x:c r="I46" s="67" t="str">
        <x:f>IF(G46="","",G46/(1+H46))</x:f>
      </x:c>
      <x:c r="J46" s="67" t="str">
        <x:f>IF(G46="","",G46-I46)</x:f>
      </x:c>
      <x:c r="K46" s="11"/>
      <x:c r="L46" s="11"/>
      <x:c r="M46" s="11"/>
      <x:c r="N46" s="11"/>
      <x:c r="O46" s="11"/>
      <x:c r="P46" s="2"/>
      <x:c r="Q46" s="2"/>
    </x:row>
    <x:row r="47">
      <x:c r="A47" s="65"/>
      <x:c r="B47" s="11"/>
      <x:c r="C47" s="11"/>
      <x:c r="D47" s="11"/>
      <x:c r="E47" s="11"/>
      <x:c r="F47" s="11"/>
      <x:c r="G47" s="66"/>
      <x:c r="H47" s="13"/>
      <x:c r="I47" s="67" t="str">
        <x:f>IF(G47="","",G47/(1+H47))</x:f>
      </x:c>
      <x:c r="J47" s="67" t="str">
        <x:f>IF(G47="","",G47-I47)</x:f>
      </x:c>
      <x:c r="K47" s="11"/>
      <x:c r="L47" s="11"/>
      <x:c r="M47" s="11"/>
      <x:c r="N47" s="11"/>
      <x:c r="O47" s="11"/>
      <x:c r="P47" s="2"/>
      <x:c r="Q47" s="2"/>
    </x:row>
    <x:row r="48">
      <x:c r="A48" s="65"/>
      <x:c r="B48" s="11"/>
      <x:c r="C48" s="11"/>
      <x:c r="D48" s="11"/>
      <x:c r="E48" s="11"/>
      <x:c r="F48" s="11"/>
      <x:c r="G48" s="66"/>
      <x:c r="H48" s="13"/>
      <x:c r="I48" s="67" t="str">
        <x:f>IF(G48="","",G48/(1+H48))</x:f>
      </x:c>
      <x:c r="J48" s="67" t="str">
        <x:f>IF(G48="","",G48-I48)</x:f>
      </x:c>
      <x:c r="K48" s="11"/>
      <x:c r="L48" s="11"/>
      <x:c r="M48" s="11"/>
      <x:c r="N48" s="11"/>
      <x:c r="O48" s="11"/>
      <x:c r="P48" s="2"/>
      <x:c r="Q48" s="2"/>
    </x:row>
    <x:row r="49">
      <x:c r="A49" s="65"/>
      <x:c r="B49" s="11"/>
      <x:c r="C49" s="11"/>
      <x:c r="D49" s="11"/>
      <x:c r="E49" s="11"/>
      <x:c r="F49" s="11"/>
      <x:c r="G49" s="66"/>
      <x:c r="H49" s="13"/>
      <x:c r="I49" s="67" t="str">
        <x:f>IF(G49="","",G49/(1+H49))</x:f>
      </x:c>
      <x:c r="J49" s="67" t="str">
        <x:f>IF(G49="","",G49-I49)</x:f>
      </x:c>
      <x:c r="K49" s="11"/>
      <x:c r="L49" s="11"/>
      <x:c r="M49" s="11"/>
      <x:c r="N49" s="11"/>
      <x:c r="O49" s="11"/>
      <x:c r="P49" s="2"/>
      <x:c r="Q49" s="2"/>
    </x:row>
    <x:row r="50">
      <x:c r="A50" s="65"/>
      <x:c r="B50" s="11"/>
      <x:c r="C50" s="11"/>
      <x:c r="D50" s="11"/>
      <x:c r="E50" s="11"/>
      <x:c r="F50" s="11"/>
      <x:c r="G50" s="66"/>
      <x:c r="H50" s="13"/>
      <x:c r="I50" s="67" t="str">
        <x:f>IF(G50="","",G50/(1+H50))</x:f>
      </x:c>
      <x:c r="J50" s="67" t="str">
        <x:f>IF(G50="","",G50-I50)</x:f>
      </x:c>
      <x:c r="K50" s="11"/>
      <x:c r="L50" s="11"/>
      <x:c r="M50" s="11"/>
      <x:c r="N50" s="11"/>
      <x:c r="O50" s="11"/>
      <x:c r="P50" s="2"/>
      <x:c r="Q50" s="2"/>
    </x:row>
    <x:row r="51">
      <x:c r="A51" s="65"/>
      <x:c r="B51" s="11"/>
      <x:c r="C51" s="11"/>
      <x:c r="D51" s="11"/>
      <x:c r="E51" s="11"/>
      <x:c r="F51" s="11"/>
      <x:c r="G51" s="66"/>
      <x:c r="H51" s="13"/>
      <x:c r="I51" s="67" t="str">
        <x:f>IF(G51="","",G51/(1+H51))</x:f>
      </x:c>
      <x:c r="J51" s="67" t="str">
        <x:f>IF(G51="","",G51-I51)</x:f>
      </x:c>
      <x:c r="K51" s="11"/>
      <x:c r="L51" s="11"/>
      <x:c r="M51" s="11"/>
      <x:c r="N51" s="11"/>
      <x:c r="O51" s="11"/>
      <x:c r="P51" s="2"/>
      <x:c r="Q51" s="2"/>
    </x:row>
    <x:row r="52">
      <x:c r="A52" s="65"/>
      <x:c r="B52" s="11"/>
      <x:c r="C52" s="11"/>
      <x:c r="D52" s="11"/>
      <x:c r="E52" s="11"/>
      <x:c r="F52" s="11"/>
      <x:c r="G52" s="66"/>
      <x:c r="H52" s="13"/>
      <x:c r="I52" s="67" t="str">
        <x:f>IF(G52="","",G52/(1+H52))</x:f>
      </x:c>
      <x:c r="J52" s="67" t="str">
        <x:f>IF(G52="","",G52-I52)</x:f>
      </x:c>
      <x:c r="K52" s="11"/>
      <x:c r="L52" s="11"/>
      <x:c r="M52" s="11"/>
      <x:c r="N52" s="11"/>
      <x:c r="O52" s="11"/>
      <x:c r="P52" s="2"/>
      <x:c r="Q52" s="2"/>
    </x:row>
    <x:row r="53">
      <x:c r="A53" s="65"/>
      <x:c r="B53" s="11"/>
      <x:c r="C53" s="11"/>
      <x:c r="D53" s="11"/>
      <x:c r="E53" s="11"/>
      <x:c r="F53" s="11"/>
      <x:c r="G53" s="66"/>
      <x:c r="H53" s="13"/>
      <x:c r="I53" s="67" t="str">
        <x:f>IF(G53="","",G53/(1+H53))</x:f>
      </x:c>
      <x:c r="J53" s="67" t="str">
        <x:f>IF(G53="","",G53-I53)</x:f>
      </x:c>
      <x:c r="K53" s="11"/>
      <x:c r="L53" s="11"/>
      <x:c r="M53" s="11"/>
      <x:c r="N53" s="11"/>
      <x:c r="O53" s="11"/>
      <x:c r="P53" s="2"/>
      <x:c r="Q53" s="2"/>
    </x:row>
    <x:row r="54">
      <x:c r="A54" s="65"/>
      <x:c r="B54" s="11"/>
      <x:c r="C54" s="11"/>
      <x:c r="D54" s="11"/>
      <x:c r="E54" s="11"/>
      <x:c r="F54" s="11"/>
      <x:c r="G54" s="66"/>
      <x:c r="H54" s="13"/>
      <x:c r="I54" s="67" t="str">
        <x:f>IF(G54="","",G54/(1+H54))</x:f>
      </x:c>
      <x:c r="J54" s="67" t="str">
        <x:f>IF(G54="","",G54-I54)</x:f>
      </x:c>
      <x:c r="K54" s="11"/>
      <x:c r="L54" s="11"/>
      <x:c r="M54" s="11"/>
      <x:c r="N54" s="11"/>
      <x:c r="O54" s="11"/>
      <x:c r="P54" s="2"/>
      <x:c r="Q54" s="2"/>
    </x:row>
    <x:row r="55">
      <x:c r="A55" s="65"/>
      <x:c r="B55" s="11"/>
      <x:c r="C55" s="11"/>
      <x:c r="D55" s="11"/>
      <x:c r="E55" s="11"/>
      <x:c r="F55" s="11"/>
      <x:c r="G55" s="66"/>
      <x:c r="H55" s="13"/>
      <x:c r="I55" s="67" t="str">
        <x:f>IF(G55="","",G55/(1+H55))</x:f>
      </x:c>
      <x:c r="J55" s="67" t="str">
        <x:f>IF(G55="","",G55-I55)</x:f>
      </x:c>
      <x:c r="K55" s="11"/>
      <x:c r="L55" s="11"/>
      <x:c r="M55" s="11"/>
      <x:c r="N55" s="11"/>
      <x:c r="O55" s="11"/>
      <x:c r="P55" s="2"/>
      <x:c r="Q55" s="2"/>
    </x:row>
    <x:row r="56">
      <x:c r="A56" s="65"/>
      <x:c r="B56" s="11"/>
      <x:c r="C56" s="11"/>
      <x:c r="D56" s="11"/>
      <x:c r="E56" s="11"/>
      <x:c r="F56" s="11"/>
      <x:c r="G56" s="66"/>
      <x:c r="H56" s="13"/>
      <x:c r="I56" s="67" t="str">
        <x:f>IF(G56="","",G56/(1+H56))</x:f>
      </x:c>
      <x:c r="J56" s="67" t="str">
        <x:f>IF(G56="","",G56-I56)</x:f>
      </x:c>
      <x:c r="K56" s="11"/>
      <x:c r="L56" s="11"/>
      <x:c r="M56" s="11"/>
      <x:c r="N56" s="11"/>
      <x:c r="O56" s="11"/>
      <x:c r="P56" s="2"/>
      <x:c r="Q56" s="2"/>
    </x:row>
    <x:row r="57">
      <x:c r="A57" s="65"/>
      <x:c r="B57" s="11"/>
      <x:c r="C57" s="11"/>
      <x:c r="D57" s="11"/>
      <x:c r="E57" s="11"/>
      <x:c r="F57" s="11"/>
      <x:c r="G57" s="66"/>
      <x:c r="H57" s="13"/>
      <x:c r="I57" s="67" t="str">
        <x:f>IF(G57="","",G57/(1+H57))</x:f>
      </x:c>
      <x:c r="J57" s="67" t="str">
        <x:f>IF(G57="","",G57-I57)</x:f>
      </x:c>
      <x:c r="K57" s="11"/>
      <x:c r="L57" s="11"/>
      <x:c r="M57" s="11"/>
      <x:c r="N57" s="11"/>
      <x:c r="O57" s="11"/>
      <x:c r="P57" s="2"/>
      <x:c r="Q57" s="2"/>
    </x:row>
    <x:row r="58">
      <x:c r="A58" s="65"/>
      <x:c r="B58" s="11"/>
      <x:c r="C58" s="11"/>
      <x:c r="D58" s="11"/>
      <x:c r="E58" s="11"/>
      <x:c r="F58" s="11"/>
      <x:c r="G58" s="66"/>
      <x:c r="H58" s="13"/>
      <x:c r="I58" s="67" t="str">
        <x:f>IF(G58="","",G58/(1+H58))</x:f>
      </x:c>
      <x:c r="J58" s="67" t="str">
        <x:f>IF(G58="","",G58-I58)</x:f>
      </x:c>
      <x:c r="K58" s="11"/>
      <x:c r="L58" s="11"/>
      <x:c r="M58" s="11"/>
      <x:c r="N58" s="11"/>
      <x:c r="O58" s="11"/>
      <x:c r="P58" s="2"/>
      <x:c r="Q58" s="2"/>
    </x:row>
    <x:row r="59">
      <x:c r="A59" s="65"/>
      <x:c r="B59" s="11"/>
      <x:c r="C59" s="11"/>
      <x:c r="D59" s="11"/>
      <x:c r="E59" s="11"/>
      <x:c r="F59" s="11"/>
      <x:c r="G59" s="66"/>
      <x:c r="H59" s="13"/>
      <x:c r="I59" s="67" t="str">
        <x:f>IF(G59="","",G59/(1+H59))</x:f>
      </x:c>
      <x:c r="J59" s="67" t="str">
        <x:f>IF(G59="","",G59-I59)</x:f>
      </x:c>
      <x:c r="K59" s="11"/>
      <x:c r="L59" s="11"/>
      <x:c r="M59" s="11"/>
      <x:c r="N59" s="11"/>
      <x:c r="O59" s="11"/>
      <x:c r="P59" s="2"/>
      <x:c r="Q59" s="2"/>
    </x:row>
    <x:row r="60">
      <x:c r="A60" s="65"/>
      <x:c r="B60" s="11"/>
      <x:c r="C60" s="11"/>
      <x:c r="D60" s="11"/>
      <x:c r="E60" s="11"/>
      <x:c r="F60" s="11"/>
      <x:c r="G60" s="66"/>
      <x:c r="H60" s="13"/>
      <x:c r="I60" s="67" t="str">
        <x:f>IF(G60="","",G60/(1+H60))</x:f>
      </x:c>
      <x:c r="J60" s="67" t="str">
        <x:f>IF(G60="","",G60-I60)</x:f>
      </x:c>
      <x:c r="K60" s="11"/>
      <x:c r="L60" s="11"/>
      <x:c r="M60" s="11"/>
      <x:c r="N60" s="11"/>
      <x:c r="O60" s="11"/>
      <x:c r="P60" s="2"/>
      <x:c r="Q60" s="2"/>
    </x:row>
    <x:row r="61">
      <x:c r="A61" s="65"/>
      <x:c r="B61" s="11"/>
      <x:c r="C61" s="11"/>
      <x:c r="D61" s="11"/>
      <x:c r="E61" s="11"/>
      <x:c r="F61" s="11"/>
      <x:c r="G61" s="66"/>
      <x:c r="H61" s="13"/>
      <x:c r="I61" s="67" t="str">
        <x:f>IF(G61="","",G61/(1+H61))</x:f>
      </x:c>
      <x:c r="J61" s="67" t="str">
        <x:f>IF(G61="","",G61-I61)</x:f>
      </x:c>
      <x:c r="K61" s="11"/>
      <x:c r="L61" s="11"/>
      <x:c r="M61" s="11"/>
      <x:c r="N61" s="11"/>
      <x:c r="O61" s="11"/>
      <x:c r="P61" s="2"/>
      <x:c r="Q61" s="2"/>
    </x:row>
    <x:row r="62">
      <x:c r="A62" s="65"/>
      <x:c r="B62" s="11"/>
      <x:c r="C62" s="11"/>
      <x:c r="D62" s="11"/>
      <x:c r="E62" s="11"/>
      <x:c r="F62" s="11"/>
      <x:c r="G62" s="66"/>
      <x:c r="H62" s="13"/>
      <x:c r="I62" s="67" t="str">
        <x:f>IF(G62="","",G62/(1+H62))</x:f>
      </x:c>
      <x:c r="J62" s="67" t="str">
        <x:f>IF(G62="","",G62-I62)</x:f>
      </x:c>
      <x:c r="K62" s="11"/>
      <x:c r="L62" s="11"/>
      <x:c r="M62" s="11"/>
      <x:c r="N62" s="11"/>
      <x:c r="O62" s="11"/>
      <x:c r="P62" s="2"/>
      <x:c r="Q62" s="2"/>
    </x:row>
    <x:row r="63">
      <x:c r="A63" s="65"/>
      <x:c r="B63" s="11"/>
      <x:c r="C63" s="11"/>
      <x:c r="D63" s="11"/>
      <x:c r="E63" s="11"/>
      <x:c r="F63" s="11"/>
      <x:c r="G63" s="66"/>
      <x:c r="H63" s="13"/>
      <x:c r="I63" s="67" t="str">
        <x:f>IF(G63="","",G63/(1+H63))</x:f>
      </x:c>
      <x:c r="J63" s="67" t="str">
        <x:f>IF(G63="","",G63-I63)</x:f>
      </x:c>
      <x:c r="K63" s="11"/>
      <x:c r="L63" s="11"/>
      <x:c r="M63" s="11"/>
      <x:c r="N63" s="11"/>
      <x:c r="O63" s="11"/>
      <x:c r="P63" s="2"/>
      <x:c r="Q63" s="2"/>
    </x:row>
    <x:row r="64">
      <x:c r="A64" s="65"/>
      <x:c r="B64" s="11"/>
      <x:c r="C64" s="11"/>
      <x:c r="D64" s="11"/>
      <x:c r="E64" s="11"/>
      <x:c r="F64" s="11"/>
      <x:c r="G64" s="66"/>
      <x:c r="H64" s="13"/>
      <x:c r="I64" s="67" t="str">
        <x:f>IF(G64="","",G64/(1+H64))</x:f>
      </x:c>
      <x:c r="J64" s="67" t="str">
        <x:f>IF(G64="","",G64-I64)</x:f>
      </x:c>
      <x:c r="K64" s="11"/>
      <x:c r="L64" s="11"/>
      <x:c r="M64" s="11"/>
      <x:c r="N64" s="11"/>
      <x:c r="O64" s="11"/>
      <x:c r="P64" s="2"/>
      <x:c r="Q64" s="2"/>
    </x:row>
    <x:row r="65">
      <x:c r="A65" s="65"/>
      <x:c r="B65" s="11"/>
      <x:c r="C65" s="11"/>
      <x:c r="D65" s="11"/>
      <x:c r="E65" s="11"/>
      <x:c r="F65" s="11"/>
      <x:c r="G65" s="66"/>
      <x:c r="H65" s="13"/>
      <x:c r="I65" s="67" t="str">
        <x:f>IF(G65="","",G65/(1+H65))</x:f>
      </x:c>
      <x:c r="J65" s="67" t="str">
        <x:f>IF(G65="","",G65-I65)</x:f>
      </x:c>
      <x:c r="K65" s="11"/>
      <x:c r="L65" s="11"/>
      <x:c r="M65" s="11"/>
      <x:c r="N65" s="11"/>
      <x:c r="O65" s="11"/>
      <x:c r="P65" s="2"/>
      <x:c r="Q65" s="2"/>
    </x:row>
    <x:row r="66">
      <x:c r="A66" s="65"/>
      <x:c r="B66" s="11"/>
      <x:c r="C66" s="11"/>
      <x:c r="D66" s="11"/>
      <x:c r="E66" s="11"/>
      <x:c r="F66" s="11"/>
      <x:c r="G66" s="66"/>
      <x:c r="H66" s="13"/>
      <x:c r="I66" s="67" t="str">
        <x:f>IF(G66="","",G66/(1+H66))</x:f>
      </x:c>
      <x:c r="J66" s="67" t="str">
        <x:f>IF(G66="","",G66-I66)</x:f>
      </x:c>
      <x:c r="K66" s="11"/>
      <x:c r="L66" s="11"/>
      <x:c r="M66" s="11"/>
      <x:c r="N66" s="11"/>
      <x:c r="O66" s="11"/>
      <x:c r="P66" s="2"/>
      <x:c r="Q66" s="2"/>
    </x:row>
    <x:row r="67">
      <x:c r="A67" s="65"/>
      <x:c r="B67" s="11"/>
      <x:c r="C67" s="11"/>
      <x:c r="D67" s="11"/>
      <x:c r="E67" s="11"/>
      <x:c r="F67" s="11"/>
      <x:c r="G67" s="66"/>
      <x:c r="H67" s="13"/>
      <x:c r="I67" s="67" t="str">
        <x:f>IF(G67="","",G67/(1+H67))</x:f>
      </x:c>
      <x:c r="J67" s="67" t="str">
        <x:f>IF(G67="","",G67-I67)</x:f>
      </x:c>
      <x:c r="K67" s="11"/>
      <x:c r="L67" s="11"/>
      <x:c r="M67" s="11"/>
      <x:c r="N67" s="11"/>
      <x:c r="O67" s="11"/>
      <x:c r="P67" s="2"/>
      <x:c r="Q67" s="2"/>
    </x:row>
    <x:row r="68">
      <x:c r="A68" s="65"/>
      <x:c r="B68" s="11"/>
      <x:c r="C68" s="11"/>
      <x:c r="D68" s="11"/>
      <x:c r="E68" s="11"/>
      <x:c r="F68" s="11"/>
      <x:c r="G68" s="66"/>
      <x:c r="H68" s="13"/>
      <x:c r="I68" s="67" t="str">
        <x:f>IF(G68="","",G68/(1+H68))</x:f>
      </x:c>
      <x:c r="J68" s="67" t="str">
        <x:f>IF(G68="","",G68-I68)</x:f>
      </x:c>
      <x:c r="K68" s="11"/>
      <x:c r="L68" s="11"/>
      <x:c r="M68" s="11"/>
      <x:c r="N68" s="11"/>
      <x:c r="O68" s="11"/>
      <x:c r="P68" s="2"/>
      <x:c r="Q68" s="2"/>
    </x:row>
    <x:row r="69">
      <x:c r="A69" s="65"/>
      <x:c r="B69" s="11"/>
      <x:c r="C69" s="11"/>
      <x:c r="D69" s="11"/>
      <x:c r="E69" s="11"/>
      <x:c r="F69" s="11"/>
      <x:c r="G69" s="66"/>
      <x:c r="H69" s="13"/>
      <x:c r="I69" s="67" t="str">
        <x:f>IF(G69="","",G69/(1+H69))</x:f>
      </x:c>
      <x:c r="J69" s="67" t="str">
        <x:f>IF(G69="","",G69-I69)</x:f>
      </x:c>
      <x:c r="K69" s="11"/>
      <x:c r="L69" s="11"/>
      <x:c r="M69" s="11"/>
      <x:c r="N69" s="11"/>
      <x:c r="O69" s="11"/>
      <x:c r="P69" s="2"/>
      <x:c r="Q69" s="2"/>
    </x:row>
    <x:row r="70">
      <x:c r="A70" s="65"/>
      <x:c r="B70" s="11"/>
      <x:c r="C70" s="11"/>
      <x:c r="D70" s="11"/>
      <x:c r="E70" s="11"/>
      <x:c r="F70" s="11"/>
      <x:c r="G70" s="66"/>
      <x:c r="H70" s="13"/>
      <x:c r="I70" s="67" t="str">
        <x:f>IF(G70="","",G70/(1+H70))</x:f>
      </x:c>
      <x:c r="J70" s="67" t="str">
        <x:f>IF(G70="","",G70-I70)</x:f>
      </x:c>
      <x:c r="K70" s="11"/>
      <x:c r="L70" s="11"/>
      <x:c r="M70" s="11"/>
      <x:c r="N70" s="11"/>
      <x:c r="O70" s="11"/>
      <x:c r="P70" s="2"/>
      <x:c r="Q70" s="2"/>
    </x:row>
    <x:row r="71">
      <x:c r="A71" s="65"/>
      <x:c r="B71" s="11"/>
      <x:c r="C71" s="11"/>
      <x:c r="D71" s="11"/>
      <x:c r="E71" s="11"/>
      <x:c r="F71" s="11"/>
      <x:c r="G71" s="66"/>
      <x:c r="H71" s="13"/>
      <x:c r="I71" s="67" t="str">
        <x:f>IF(G71="","",G71/(1+H71))</x:f>
      </x:c>
      <x:c r="J71" s="67" t="str">
        <x:f>IF(G71="","",G71-I71)</x:f>
      </x:c>
      <x:c r="K71" s="11"/>
      <x:c r="L71" s="11"/>
      <x:c r="M71" s="11"/>
      <x:c r="N71" s="11"/>
      <x:c r="O71" s="11"/>
      <x:c r="P71" s="2"/>
      <x:c r="Q71" s="2"/>
    </x:row>
    <x:row r="72">
      <x:c r="A72" s="65"/>
      <x:c r="B72" s="11"/>
      <x:c r="C72" s="11"/>
      <x:c r="D72" s="11"/>
      <x:c r="E72" s="11"/>
      <x:c r="F72" s="11"/>
      <x:c r="G72" s="66"/>
      <x:c r="H72" s="13"/>
      <x:c r="I72" s="67" t="str">
        <x:f>IF(G72="","",G72/(1+H72))</x:f>
      </x:c>
      <x:c r="J72" s="67" t="str">
        <x:f>IF(G72="","",G72-I72)</x:f>
      </x:c>
      <x:c r="K72" s="11"/>
      <x:c r="L72" s="11"/>
      <x:c r="M72" s="11"/>
      <x:c r="N72" s="11"/>
      <x:c r="O72" s="11"/>
      <x:c r="P72" s="2"/>
      <x:c r="Q72" s="2"/>
    </x:row>
    <x:row r="73">
      <x:c r="A73" s="65"/>
      <x:c r="B73" s="11"/>
      <x:c r="C73" s="11"/>
      <x:c r="D73" s="11"/>
      <x:c r="E73" s="11"/>
      <x:c r="F73" s="11"/>
      <x:c r="G73" s="66"/>
      <x:c r="H73" s="13"/>
      <x:c r="I73" s="67" t="str">
        <x:f>IF(G73="","",G73/(1+H73))</x:f>
      </x:c>
      <x:c r="J73" s="67" t="str">
        <x:f>IF(G73="","",G73-I73)</x:f>
      </x:c>
      <x:c r="K73" s="11"/>
      <x:c r="L73" s="11"/>
      <x:c r="M73" s="11"/>
      <x:c r="N73" s="11"/>
      <x:c r="O73" s="11"/>
      <x:c r="P73" s="2"/>
      <x:c r="Q73" s="2"/>
    </x:row>
    <x:row r="74">
      <x:c r="A74" s="65"/>
      <x:c r="B74" s="11"/>
      <x:c r="C74" s="11"/>
      <x:c r="D74" s="11"/>
      <x:c r="E74" s="11"/>
      <x:c r="F74" s="11"/>
      <x:c r="G74" s="66"/>
      <x:c r="H74" s="13"/>
      <x:c r="I74" s="67" t="str">
        <x:f>IF(G74="","",G74/(1+H74))</x:f>
      </x:c>
      <x:c r="J74" s="67" t="str">
        <x:f>IF(G74="","",G74-I74)</x:f>
      </x:c>
      <x:c r="K74" s="11"/>
      <x:c r="L74" s="11"/>
      <x:c r="M74" s="11"/>
      <x:c r="N74" s="11"/>
      <x:c r="O74" s="11"/>
      <x:c r="P74" s="2"/>
      <x:c r="Q74" s="2"/>
    </x:row>
    <x:row r="75">
      <x:c r="A75" s="65"/>
      <x:c r="B75" s="11"/>
      <x:c r="C75" s="11"/>
      <x:c r="D75" s="11"/>
      <x:c r="E75" s="11"/>
      <x:c r="F75" s="11"/>
      <x:c r="G75" s="66"/>
      <x:c r="H75" s="13"/>
      <x:c r="I75" s="67" t="str">
        <x:f>IF(G75="","",G75/(1+H75))</x:f>
      </x:c>
      <x:c r="J75" s="67" t="str">
        <x:f>IF(G75="","",G75-I75)</x:f>
      </x:c>
      <x:c r="K75" s="11"/>
      <x:c r="L75" s="11"/>
      <x:c r="M75" s="11"/>
      <x:c r="N75" s="11"/>
      <x:c r="O75" s="11"/>
      <x:c r="P75" s="2"/>
      <x:c r="Q75" s="2"/>
    </x:row>
    <x:row r="76">
      <x:c r="A76" s="65"/>
      <x:c r="B76" s="11"/>
      <x:c r="C76" s="11"/>
      <x:c r="D76" s="11"/>
      <x:c r="E76" s="11"/>
      <x:c r="F76" s="11"/>
      <x:c r="G76" s="66"/>
      <x:c r="H76" s="13"/>
      <x:c r="I76" s="67" t="str">
        <x:f>IF(G76="","",G76/(1+H76))</x:f>
      </x:c>
      <x:c r="J76" s="67" t="str">
        <x:f>IF(G76="","",G76-I76)</x:f>
      </x:c>
      <x:c r="K76" s="11"/>
      <x:c r="L76" s="11"/>
      <x:c r="M76" s="11"/>
      <x:c r="N76" s="11"/>
      <x:c r="O76" s="11"/>
      <x:c r="P76" s="2"/>
      <x:c r="Q76" s="2"/>
    </x:row>
    <x:row r="77">
      <x:c r="A77" s="65"/>
      <x:c r="B77" s="11"/>
      <x:c r="C77" s="11"/>
      <x:c r="D77" s="11"/>
      <x:c r="E77" s="11"/>
      <x:c r="F77" s="11"/>
      <x:c r="G77" s="66"/>
      <x:c r="H77" s="13"/>
      <x:c r="I77" s="67" t="str">
        <x:f>IF(G77="","",G77/(1+H77))</x:f>
      </x:c>
      <x:c r="J77" s="67" t="str">
        <x:f>IF(G77="","",G77-I77)</x:f>
      </x:c>
      <x:c r="K77" s="11"/>
      <x:c r="L77" s="11"/>
      <x:c r="M77" s="11"/>
      <x:c r="N77" s="11"/>
      <x:c r="O77" s="11"/>
      <x:c r="P77" s="2"/>
      <x:c r="Q77" s="2"/>
    </x:row>
    <x:row r="78">
      <x:c r="A78" s="65"/>
      <x:c r="B78" s="11"/>
      <x:c r="C78" s="11"/>
      <x:c r="D78" s="11"/>
      <x:c r="E78" s="11"/>
      <x:c r="F78" s="11"/>
      <x:c r="G78" s="66"/>
      <x:c r="H78" s="13"/>
      <x:c r="I78" s="67" t="str">
        <x:f>IF(G78="","",G78/(1+H78))</x:f>
      </x:c>
      <x:c r="J78" s="67" t="str">
        <x:f>IF(G78="","",G78-I78)</x:f>
      </x:c>
      <x:c r="K78" s="11"/>
      <x:c r="L78" s="11"/>
      <x:c r="M78" s="11"/>
      <x:c r="N78" s="11"/>
      <x:c r="O78" s="11"/>
      <x:c r="P78" s="2"/>
      <x:c r="Q78" s="2"/>
    </x:row>
    <x:row r="79">
      <x:c r="A79" s="65"/>
      <x:c r="B79" s="11"/>
      <x:c r="C79" s="11"/>
      <x:c r="D79" s="11"/>
      <x:c r="E79" s="11"/>
      <x:c r="F79" s="11"/>
      <x:c r="G79" s="66"/>
      <x:c r="H79" s="13"/>
      <x:c r="I79" s="67" t="str">
        <x:f>IF(G79="","",G79/(1+H79))</x:f>
      </x:c>
      <x:c r="J79" s="67" t="str">
        <x:f>IF(G79="","",G79-I79)</x:f>
      </x:c>
      <x:c r="K79" s="11"/>
      <x:c r="L79" s="11"/>
      <x:c r="M79" s="11"/>
      <x:c r="N79" s="11"/>
      <x:c r="O79" s="11"/>
      <x:c r="P79" s="2"/>
      <x:c r="Q79" s="2"/>
    </x:row>
    <x:row r="80">
      <x:c r="A80" s="65"/>
      <x:c r="B80" s="11"/>
      <x:c r="C80" s="11"/>
      <x:c r="D80" s="11"/>
      <x:c r="E80" s="11"/>
      <x:c r="F80" s="11"/>
      <x:c r="G80" s="66"/>
      <x:c r="H80" s="13"/>
      <x:c r="I80" s="67" t="str">
        <x:f>IF(G80="","",G80/(1+H80))</x:f>
      </x:c>
      <x:c r="J80" s="67" t="str">
        <x:f>IF(G80="","",G80-I80)</x:f>
      </x:c>
      <x:c r="K80" s="11"/>
      <x:c r="L80" s="11"/>
      <x:c r="M80" s="11"/>
      <x:c r="N80" s="11"/>
      <x:c r="O80" s="11"/>
      <x:c r="P80" s="2"/>
      <x:c r="Q80" s="2"/>
    </x:row>
    <x:row r="81">
      <x:c r="A81" s="65"/>
      <x:c r="B81" s="11"/>
      <x:c r="C81" s="11"/>
      <x:c r="D81" s="11"/>
      <x:c r="E81" s="11"/>
      <x:c r="F81" s="11"/>
      <x:c r="G81" s="66"/>
      <x:c r="H81" s="13"/>
      <x:c r="I81" s="67" t="str">
        <x:f>IF(G81="","",G81/(1+H81))</x:f>
      </x:c>
      <x:c r="J81" s="67" t="str">
        <x:f>IF(G81="","",G81-I81)</x:f>
      </x:c>
      <x:c r="K81" s="11"/>
      <x:c r="L81" s="11"/>
      <x:c r="M81" s="11"/>
      <x:c r="N81" s="11"/>
      <x:c r="O81" s="11"/>
      <x:c r="P81" s="2"/>
      <x:c r="Q81" s="2"/>
    </x:row>
    <x:row r="82">
      <x:c r="A82" s="65"/>
      <x:c r="B82" s="11"/>
      <x:c r="C82" s="11"/>
      <x:c r="D82" s="11"/>
      <x:c r="E82" s="11"/>
      <x:c r="F82" s="11"/>
      <x:c r="G82" s="66"/>
      <x:c r="H82" s="13"/>
      <x:c r="I82" s="67" t="str">
        <x:f>IF(G82="","",G82/(1+H82))</x:f>
      </x:c>
      <x:c r="J82" s="67" t="str">
        <x:f>IF(G82="","",G82-I82)</x:f>
      </x:c>
      <x:c r="K82" s="11"/>
      <x:c r="L82" s="11"/>
      <x:c r="M82" s="11"/>
      <x:c r="N82" s="11"/>
      <x:c r="O82" s="11"/>
      <x:c r="P82" s="2"/>
      <x:c r="Q82" s="2"/>
    </x:row>
    <x:row r="83">
      <x:c r="A83" s="65"/>
      <x:c r="B83" s="11"/>
      <x:c r="C83" s="11"/>
      <x:c r="D83" s="11"/>
      <x:c r="E83" s="11"/>
      <x:c r="F83" s="11"/>
      <x:c r="G83" s="66"/>
      <x:c r="H83" s="13"/>
      <x:c r="I83" s="67" t="str">
        <x:f>IF(G83="","",G83/(1+H83))</x:f>
      </x:c>
      <x:c r="J83" s="67" t="str">
        <x:f>IF(G83="","",G83-I83)</x:f>
      </x:c>
      <x:c r="K83" s="11"/>
      <x:c r="L83" s="11"/>
      <x:c r="M83" s="11"/>
      <x:c r="N83" s="11"/>
      <x:c r="O83" s="11"/>
      <x:c r="P83" s="2"/>
      <x:c r="Q83" s="2"/>
    </x:row>
    <x:row r="84">
      <x:c r="A84" s="65"/>
      <x:c r="B84" s="11"/>
      <x:c r="C84" s="11"/>
      <x:c r="D84" s="11"/>
      <x:c r="E84" s="11"/>
      <x:c r="F84" s="11"/>
      <x:c r="G84" s="66"/>
      <x:c r="H84" s="13"/>
      <x:c r="I84" s="67" t="str">
        <x:f>IF(G84="","",G84/(1+H84))</x:f>
      </x:c>
      <x:c r="J84" s="67" t="str">
        <x:f>IF(G84="","",G84-I84)</x:f>
      </x:c>
      <x:c r="K84" s="11"/>
      <x:c r="L84" s="11"/>
      <x:c r="M84" s="11"/>
      <x:c r="N84" s="11"/>
      <x:c r="O84" s="11"/>
      <x:c r="P84" s="2"/>
      <x:c r="Q84" s="2"/>
    </x:row>
    <x:row r="85">
      <x:c r="A85" s="65"/>
      <x:c r="B85" s="11"/>
      <x:c r="C85" s="11"/>
      <x:c r="D85" s="11"/>
      <x:c r="E85" s="11"/>
      <x:c r="F85" s="11"/>
      <x:c r="G85" s="66"/>
      <x:c r="H85" s="13"/>
      <x:c r="I85" s="67" t="str">
        <x:f>IF(G85="","",G85/(1+H85))</x:f>
      </x:c>
      <x:c r="J85" s="67" t="str">
        <x:f>IF(G85="","",G85-I85)</x:f>
      </x:c>
      <x:c r="K85" s="11"/>
      <x:c r="L85" s="11"/>
      <x:c r="M85" s="11"/>
      <x:c r="N85" s="11"/>
      <x:c r="O85" s="11"/>
      <x:c r="P85" s="2"/>
      <x:c r="Q85" s="2"/>
    </x:row>
    <x:row r="86">
      <x:c r="A86" s="65"/>
      <x:c r="B86" s="11"/>
      <x:c r="C86" s="11"/>
      <x:c r="D86" s="11"/>
      <x:c r="E86" s="11"/>
      <x:c r="F86" s="11"/>
      <x:c r="G86" s="66"/>
      <x:c r="H86" s="13"/>
      <x:c r="I86" s="67" t="str">
        <x:f>IF(G86="","",G86/(1+H86))</x:f>
      </x:c>
      <x:c r="J86" s="67" t="str">
        <x:f>IF(G86="","",G86-I86)</x:f>
      </x:c>
      <x:c r="K86" s="11"/>
      <x:c r="L86" s="11"/>
      <x:c r="M86" s="11"/>
      <x:c r="N86" s="11"/>
      <x:c r="O86" s="11"/>
      <x:c r="P86" s="2"/>
      <x:c r="Q86" s="2"/>
    </x:row>
    <x:row r="87">
      <x:c r="A87" s="65"/>
      <x:c r="B87" s="11"/>
      <x:c r="C87" s="11"/>
      <x:c r="D87" s="11"/>
      <x:c r="E87" s="11"/>
      <x:c r="F87" s="11"/>
      <x:c r="G87" s="66"/>
      <x:c r="H87" s="13"/>
      <x:c r="I87" s="67" t="str">
        <x:f>IF(G87="","",G87/(1+H87))</x:f>
      </x:c>
      <x:c r="J87" s="67" t="str">
        <x:f>IF(G87="","",G87-I87)</x:f>
      </x:c>
      <x:c r="K87" s="11"/>
      <x:c r="L87" s="11"/>
      <x:c r="M87" s="11"/>
      <x:c r="N87" s="11"/>
      <x:c r="O87" s="11"/>
      <x:c r="P87" s="2"/>
      <x:c r="Q87" s="2"/>
    </x:row>
    <x:row r="88">
      <x:c r="A88" s="65"/>
      <x:c r="B88" s="11"/>
      <x:c r="C88" s="11"/>
      <x:c r="D88" s="11"/>
      <x:c r="E88" s="11"/>
      <x:c r="F88" s="11"/>
      <x:c r="G88" s="66"/>
      <x:c r="H88" s="13"/>
      <x:c r="I88" s="67" t="str">
        <x:f>IF(G88="","",G88/(1+H88))</x:f>
      </x:c>
      <x:c r="J88" s="67" t="str">
        <x:f>IF(G88="","",G88-I88)</x:f>
      </x:c>
      <x:c r="K88" s="11"/>
      <x:c r="L88" s="11"/>
      <x:c r="M88" s="11"/>
      <x:c r="N88" s="11"/>
      <x:c r="O88" s="11"/>
      <x:c r="P88" s="2"/>
      <x:c r="Q88" s="2"/>
    </x:row>
    <x:row r="89">
      <x:c r="A89" s="65"/>
      <x:c r="B89" s="11"/>
      <x:c r="C89" s="11"/>
      <x:c r="D89" s="11"/>
      <x:c r="E89" s="11"/>
      <x:c r="F89" s="11"/>
      <x:c r="G89" s="66"/>
      <x:c r="H89" s="13"/>
      <x:c r="I89" s="67" t="str">
        <x:f>IF(G89="","",G89/(1+H89))</x:f>
      </x:c>
      <x:c r="J89" s="67" t="str">
        <x:f>IF(G89="","",G89-I89)</x:f>
      </x:c>
      <x:c r="K89" s="11"/>
      <x:c r="L89" s="11"/>
      <x:c r="M89" s="11"/>
      <x:c r="N89" s="11"/>
      <x:c r="O89" s="11"/>
      <x:c r="P89" s="2"/>
      <x:c r="Q89" s="2"/>
    </x:row>
    <x:row r="90">
      <x:c r="A90" s="65"/>
      <x:c r="B90" s="11"/>
      <x:c r="C90" s="11"/>
      <x:c r="D90" s="11"/>
      <x:c r="E90" s="11"/>
      <x:c r="F90" s="11"/>
      <x:c r="G90" s="66"/>
      <x:c r="H90" s="13"/>
      <x:c r="I90" s="67" t="str">
        <x:f>IF(G90="","",G90/(1+H90))</x:f>
      </x:c>
      <x:c r="J90" s="67" t="str">
        <x:f>IF(G90="","",G90-I90)</x:f>
      </x:c>
      <x:c r="K90" s="11"/>
      <x:c r="L90" s="11"/>
      <x:c r="M90" s="11"/>
      <x:c r="N90" s="11"/>
      <x:c r="O90" s="11"/>
      <x:c r="P90" s="2"/>
      <x:c r="Q90" s="2"/>
    </x:row>
    <x:row r="91">
      <x:c r="A91" s="65"/>
      <x:c r="B91" s="11"/>
      <x:c r="C91" s="11"/>
      <x:c r="D91" s="11"/>
      <x:c r="E91" s="11"/>
      <x:c r="F91" s="11"/>
      <x:c r="G91" s="66"/>
      <x:c r="H91" s="13"/>
      <x:c r="I91" s="67" t="str">
        <x:f>IF(G91="","",G91/(1+H91))</x:f>
      </x:c>
      <x:c r="J91" s="67" t="str">
        <x:f>IF(G91="","",G91-I91)</x:f>
      </x:c>
      <x:c r="K91" s="11"/>
      <x:c r="L91" s="11"/>
      <x:c r="M91" s="11"/>
      <x:c r="N91" s="11"/>
      <x:c r="O91" s="11"/>
      <x:c r="P91" s="2"/>
      <x:c r="Q91" s="2"/>
    </x:row>
    <x:row r="92">
      <x:c r="A92" s="65"/>
      <x:c r="B92" s="11"/>
      <x:c r="C92" s="11"/>
      <x:c r="D92" s="11"/>
      <x:c r="E92" s="11"/>
      <x:c r="F92" s="11"/>
      <x:c r="G92" s="66"/>
      <x:c r="H92" s="13"/>
      <x:c r="I92" s="67" t="str">
        <x:f>IF(G92="","",G92/(1+H92))</x:f>
      </x:c>
      <x:c r="J92" s="67" t="str">
        <x:f>IF(G92="","",G92-I92)</x:f>
      </x:c>
      <x:c r="K92" s="11"/>
      <x:c r="L92" s="11"/>
      <x:c r="M92" s="11"/>
      <x:c r="N92" s="11"/>
      <x:c r="O92" s="11"/>
      <x:c r="P92" s="2"/>
      <x:c r="Q92" s="2"/>
    </x:row>
    <x:row r="93">
      <x:c r="A93" s="65"/>
      <x:c r="B93" s="11"/>
      <x:c r="C93" s="11"/>
      <x:c r="D93" s="11"/>
      <x:c r="E93" s="11"/>
      <x:c r="F93" s="11"/>
      <x:c r="G93" s="66"/>
      <x:c r="H93" s="13"/>
      <x:c r="I93" s="67" t="str">
        <x:f>IF(G93="","",G93/(1+H93))</x:f>
      </x:c>
      <x:c r="J93" s="67" t="str">
        <x:f>IF(G93="","",G93-I93)</x:f>
      </x:c>
      <x:c r="K93" s="11"/>
      <x:c r="L93" s="11"/>
      <x:c r="M93" s="11"/>
      <x:c r="N93" s="11"/>
      <x:c r="O93" s="11"/>
      <x:c r="P93" s="2"/>
      <x:c r="Q93" s="2"/>
    </x:row>
    <x:row r="94">
      <x:c r="A94" s="65"/>
      <x:c r="B94" s="11"/>
      <x:c r="C94" s="11"/>
      <x:c r="D94" s="11"/>
      <x:c r="E94" s="11"/>
      <x:c r="F94" s="11"/>
      <x:c r="G94" s="66"/>
      <x:c r="H94" s="13"/>
      <x:c r="I94" s="67" t="str">
        <x:f>IF(G94="","",G94/(1+H94))</x:f>
      </x:c>
      <x:c r="J94" s="67" t="str">
        <x:f>IF(G94="","",G94-I94)</x:f>
      </x:c>
      <x:c r="K94" s="11"/>
      <x:c r="L94" s="11"/>
      <x:c r="M94" s="11"/>
      <x:c r="N94" s="11"/>
      <x:c r="O94" s="11"/>
      <x:c r="P94" s="2"/>
      <x:c r="Q94" s="2"/>
    </x:row>
    <x:row r="95">
      <x:c r="A95" s="65"/>
      <x:c r="B95" s="11"/>
      <x:c r="C95" s="11"/>
      <x:c r="D95" s="11"/>
      <x:c r="E95" s="11"/>
      <x:c r="F95" s="11"/>
      <x:c r="G95" s="66"/>
      <x:c r="H95" s="13"/>
      <x:c r="I95" s="67" t="str">
        <x:f>IF(G95="","",G95/(1+H95))</x:f>
      </x:c>
      <x:c r="J95" s="67" t="str">
        <x:f>IF(G95="","",G95-I95)</x:f>
      </x:c>
      <x:c r="K95" s="11"/>
      <x:c r="L95" s="11"/>
      <x:c r="M95" s="11"/>
      <x:c r="N95" s="11"/>
      <x:c r="O95" s="11"/>
      <x:c r="P95" s="2"/>
      <x:c r="Q95" s="2"/>
    </x:row>
    <x:row r="96">
      <x:c r="A96" s="65"/>
      <x:c r="B96" s="11"/>
      <x:c r="C96" s="11"/>
      <x:c r="D96" s="11"/>
      <x:c r="E96" s="11"/>
      <x:c r="F96" s="11"/>
      <x:c r="G96" s="66"/>
      <x:c r="H96" s="13"/>
      <x:c r="I96" s="67" t="str">
        <x:f>IF(G96="","",G96/(1+H96))</x:f>
      </x:c>
      <x:c r="J96" s="67" t="str">
        <x:f>IF(G96="","",G96-I96)</x:f>
      </x:c>
      <x:c r="K96" s="11"/>
      <x:c r="L96" s="11"/>
      <x:c r="M96" s="11"/>
      <x:c r="N96" s="11"/>
      <x:c r="O96" s="11"/>
      <x:c r="P96" s="2"/>
      <x:c r="Q96" s="2"/>
    </x:row>
    <x:row r="97">
      <x:c r="A97" s="65"/>
      <x:c r="B97" s="11"/>
      <x:c r="C97" s="11"/>
      <x:c r="D97" s="11"/>
      <x:c r="E97" s="11"/>
      <x:c r="F97" s="11"/>
      <x:c r="G97" s="66"/>
      <x:c r="H97" s="13"/>
      <x:c r="I97" s="67" t="str">
        <x:f>IF(G97="","",G97/(1+H97))</x:f>
      </x:c>
      <x:c r="J97" s="67" t="str">
        <x:f>IF(G97="","",G97-I97)</x:f>
      </x:c>
      <x:c r="K97" s="11"/>
      <x:c r="L97" s="11"/>
      <x:c r="M97" s="11"/>
      <x:c r="N97" s="11"/>
      <x:c r="O97" s="11"/>
      <x:c r="P97" s="2"/>
      <x:c r="Q97" s="2"/>
    </x:row>
    <x:row r="98">
      <x:c r="A98" s="65"/>
      <x:c r="B98" s="11"/>
      <x:c r="C98" s="11"/>
      <x:c r="D98" s="11"/>
      <x:c r="E98" s="11"/>
      <x:c r="F98" s="11"/>
      <x:c r="G98" s="66"/>
      <x:c r="H98" s="13"/>
      <x:c r="I98" s="67" t="str">
        <x:f>IF(G98="","",G98/(1+H98))</x:f>
      </x:c>
      <x:c r="J98" s="67" t="str">
        <x:f>IF(G98="","",G98-I98)</x:f>
      </x:c>
      <x:c r="K98" s="11"/>
      <x:c r="L98" s="11"/>
      <x:c r="M98" s="11"/>
      <x:c r="N98" s="11"/>
      <x:c r="O98" s="11"/>
      <x:c r="P98" s="2"/>
      <x:c r="Q98" s="2"/>
    </x:row>
    <x:row r="99">
      <x:c r="A99" s="65"/>
      <x:c r="B99" s="11"/>
      <x:c r="C99" s="11"/>
      <x:c r="D99" s="11"/>
      <x:c r="E99" s="11"/>
      <x:c r="F99" s="11"/>
      <x:c r="G99" s="66"/>
      <x:c r="H99" s="13"/>
      <x:c r="I99" s="67" t="str">
        <x:f>IF(G99="","",G99/(1+H99))</x:f>
      </x:c>
      <x:c r="J99" s="67" t="str">
        <x:f>IF(G99="","",G99-I99)</x:f>
      </x:c>
      <x:c r="K99" s="11"/>
      <x:c r="L99" s="11"/>
      <x:c r="M99" s="11"/>
      <x:c r="N99" s="11"/>
      <x:c r="O99" s="11"/>
      <x:c r="P99" s="2"/>
      <x:c r="Q99" s="2"/>
    </x:row>
    <x:row r="100">
      <x:c r="A100" s="65"/>
      <x:c r="B100" s="11"/>
      <x:c r="C100" s="11"/>
      <x:c r="D100" s="11"/>
      <x:c r="E100" s="11"/>
      <x:c r="F100" s="11"/>
      <x:c r="G100" s="66"/>
      <x:c r="H100" s="13"/>
      <x:c r="I100" s="67" t="str">
        <x:f>IF(G100="","",G100/(1+H100))</x:f>
      </x:c>
      <x:c r="J100" s="67" t="str">
        <x:f>IF(G100="","",G100-I100)</x:f>
      </x:c>
      <x:c r="K100" s="11"/>
      <x:c r="L100" s="11"/>
      <x:c r="M100" s="11"/>
      <x:c r="N100" s="11"/>
      <x:c r="O100" s="11"/>
      <x:c r="P100" s="2"/>
      <x:c r="Q100" s="2"/>
    </x:row>
    <x:row r="101">
      <x:c r="A101" s="65"/>
      <x:c r="B101" s="11"/>
      <x:c r="C101" s="11"/>
      <x:c r="D101" s="11"/>
      <x:c r="E101" s="11"/>
      <x:c r="F101" s="11"/>
      <x:c r="G101" s="66"/>
      <x:c r="H101" s="13"/>
      <x:c r="I101" s="67" t="str">
        <x:f>IF(G101="","",G101/(1+H101))</x:f>
      </x:c>
      <x:c r="J101" s="67" t="str">
        <x:f>IF(G101="","",G101-I101)</x:f>
      </x:c>
      <x:c r="K101" s="11"/>
      <x:c r="L101" s="11"/>
      <x:c r="M101" s="11"/>
      <x:c r="N101" s="11"/>
      <x:c r="O101" s="11"/>
      <x:c r="P101" s="2"/>
      <x:c r="Q101" s="2"/>
    </x:row>
    <x:row r="102">
      <x:c r="A102" s="65"/>
      <x:c r="B102" s="11"/>
      <x:c r="C102" s="11"/>
      <x:c r="D102" s="11"/>
      <x:c r="E102" s="11"/>
      <x:c r="F102" s="11"/>
      <x:c r="G102" s="66"/>
      <x:c r="H102" s="13"/>
      <x:c r="I102" s="67" t="str">
        <x:f>IF(G102="","",G102/(1+H102))</x:f>
      </x:c>
      <x:c r="J102" s="67" t="str">
        <x:f>IF(G102="","",G102-I102)</x:f>
      </x:c>
      <x:c r="K102" s="11"/>
      <x:c r="L102" s="11"/>
      <x:c r="M102" s="11"/>
      <x:c r="N102" s="11"/>
      <x:c r="O102" s="11"/>
      <x:c r="P102" s="2"/>
      <x:c r="Q102" s="2"/>
    </x:row>
    <x:row r="103">
      <x:c r="A103" s="65"/>
      <x:c r="B103" s="11"/>
      <x:c r="C103" s="11"/>
      <x:c r="D103" s="11"/>
      <x:c r="E103" s="11"/>
      <x:c r="F103" s="11"/>
      <x:c r="G103" s="66"/>
      <x:c r="H103" s="13"/>
      <x:c r="I103" s="67" t="str">
        <x:f>IF(G103="","",G103/(1+H103))</x:f>
      </x:c>
      <x:c r="J103" s="67" t="str">
        <x:f>IF(G103="","",G103-I103)</x:f>
      </x:c>
      <x:c r="K103" s="11"/>
      <x:c r="L103" s="11"/>
      <x:c r="M103" s="11"/>
      <x:c r="N103" s="11"/>
      <x:c r="O103" s="11"/>
      <x:c r="P103" s="2"/>
      <x:c r="Q103" s="2"/>
    </x:row>
    <x:row r="104">
      <x:c r="A104" s="65"/>
      <x:c r="B104" s="11"/>
      <x:c r="C104" s="11"/>
      <x:c r="D104" s="11"/>
      <x:c r="E104" s="11"/>
      <x:c r="F104" s="11"/>
      <x:c r="G104" s="66"/>
      <x:c r="H104" s="13"/>
      <x:c r="I104" s="67" t="str">
        <x:f>IF(G104="","",G104/(1+H104))</x:f>
      </x:c>
      <x:c r="J104" s="67" t="str">
        <x:f>IF(G104="","",G104-I104)</x:f>
      </x:c>
      <x:c r="K104" s="11"/>
      <x:c r="L104" s="11"/>
      <x:c r="M104" s="11"/>
      <x:c r="N104" s="11"/>
      <x:c r="O104" s="11"/>
      <x:c r="P104" s="2"/>
      <x:c r="Q104" s="2"/>
    </x:row>
    <x:row r="105">
      <x:c r="A105" s="65"/>
      <x:c r="B105" s="11"/>
      <x:c r="C105" s="11"/>
      <x:c r="D105" s="11"/>
      <x:c r="E105" s="11"/>
      <x:c r="F105" s="11"/>
      <x:c r="G105" s="66"/>
      <x:c r="H105" s="13"/>
      <x:c r="I105" s="67" t="str">
        <x:f>IF(G105="","",G105/(1+H105))</x:f>
      </x:c>
      <x:c r="J105" s="67" t="str">
        <x:f>IF(G105="","",G105-I105)</x:f>
      </x:c>
      <x:c r="K105" s="11"/>
      <x:c r="L105" s="11"/>
      <x:c r="M105" s="11"/>
      <x:c r="N105" s="11"/>
      <x:c r="O105" s="11"/>
      <x:c r="P105" s="2"/>
      <x:c r="Q105" s="2"/>
    </x:row>
    <x:row r="106">
      <x:c r="A106" s="65"/>
      <x:c r="B106" s="11"/>
      <x:c r="C106" s="11"/>
      <x:c r="D106" s="11"/>
      <x:c r="E106" s="11"/>
      <x:c r="F106" s="11"/>
      <x:c r="G106" s="66"/>
      <x:c r="H106" s="13"/>
      <x:c r="I106" s="67" t="str">
        <x:f>IF(G106="","",G106/(1+H106))</x:f>
      </x:c>
      <x:c r="J106" s="67" t="str">
        <x:f>IF(G106="","",G106-I106)</x:f>
      </x:c>
      <x:c r="K106" s="11"/>
      <x:c r="L106" s="11"/>
      <x:c r="M106" s="11"/>
      <x:c r="N106" s="11"/>
      <x:c r="O106" s="11"/>
      <x:c r="P106" s="2"/>
      <x:c r="Q106" s="2"/>
    </x:row>
    <x:row r="107">
      <x:c r="A107" s="65"/>
      <x:c r="B107" s="11"/>
      <x:c r="C107" s="11"/>
      <x:c r="D107" s="11"/>
      <x:c r="E107" s="11"/>
      <x:c r="F107" s="11"/>
      <x:c r="G107" s="66"/>
      <x:c r="H107" s="13"/>
      <x:c r="I107" s="67" t="str">
        <x:f>IF(G107="","",G107/(1+H107))</x:f>
      </x:c>
      <x:c r="J107" s="67" t="str">
        <x:f>IF(G107="","",G107-I107)</x:f>
      </x:c>
      <x:c r="K107" s="11"/>
      <x:c r="L107" s="11"/>
      <x:c r="M107" s="11"/>
      <x:c r="N107" s="11"/>
      <x:c r="O107" s="11"/>
      <x:c r="P107" s="2"/>
      <x:c r="Q107" s="2"/>
    </x:row>
    <x:row r="108">
      <x:c r="A108" s="65"/>
      <x:c r="B108" s="11"/>
      <x:c r="C108" s="11"/>
      <x:c r="D108" s="11"/>
      <x:c r="E108" s="11"/>
      <x:c r="F108" s="11"/>
      <x:c r="G108" s="66"/>
      <x:c r="H108" s="13"/>
      <x:c r="I108" s="67" t="str">
        <x:f>IF(G108="","",G108/(1+H108))</x:f>
      </x:c>
      <x:c r="J108" s="67" t="str">
        <x:f>IF(G108="","",G108-I108)</x:f>
      </x:c>
      <x:c r="K108" s="11"/>
      <x:c r="L108" s="11"/>
      <x:c r="M108" s="11"/>
      <x:c r="N108" s="11"/>
      <x:c r="O108" s="11"/>
      <x:c r="P108" s="2"/>
      <x:c r="Q108" s="2"/>
    </x:row>
    <x:row r="109">
      <x:c r="A109" s="65"/>
      <x:c r="B109" s="11"/>
      <x:c r="C109" s="11"/>
      <x:c r="D109" s="11"/>
      <x:c r="E109" s="11"/>
      <x:c r="F109" s="11"/>
      <x:c r="G109" s="66"/>
      <x:c r="H109" s="13"/>
      <x:c r="I109" s="67" t="str">
        <x:f>IF(G109="","",G109/(1+H109))</x:f>
      </x:c>
      <x:c r="J109" s="67" t="str">
        <x:f>IF(G109="","",G109-I109)</x:f>
      </x:c>
      <x:c r="K109" s="11"/>
      <x:c r="L109" s="11"/>
      <x:c r="M109" s="11"/>
      <x:c r="N109" s="11"/>
      <x:c r="O109" s="11"/>
      <x:c r="P109" s="2"/>
      <x:c r="Q109" s="2"/>
    </x:row>
    <x:row r="110">
      <x:c r="A110" s="65"/>
      <x:c r="B110" s="11"/>
      <x:c r="C110" s="11"/>
      <x:c r="D110" s="11"/>
      <x:c r="E110" s="11"/>
      <x:c r="F110" s="11"/>
      <x:c r="G110" s="66"/>
      <x:c r="H110" s="13"/>
      <x:c r="I110" s="67" t="str">
        <x:f>IF(G110="","",G110/(1+H110))</x:f>
      </x:c>
      <x:c r="J110" s="67" t="str">
        <x:f>IF(G110="","",G110-I110)</x:f>
      </x:c>
      <x:c r="K110" s="11"/>
      <x:c r="L110" s="11"/>
      <x:c r="M110" s="11"/>
      <x:c r="N110" s="11"/>
      <x:c r="O110" s="11"/>
      <x:c r="P110" s="2"/>
      <x:c r="Q110" s="2"/>
    </x:row>
    <x:row r="111">
      <x:c r="A111" s="65"/>
      <x:c r="B111" s="11"/>
      <x:c r="C111" s="11"/>
      <x:c r="D111" s="11"/>
      <x:c r="E111" s="11"/>
      <x:c r="F111" s="11"/>
      <x:c r="G111" s="66"/>
      <x:c r="H111" s="13"/>
      <x:c r="I111" s="67" t="str">
        <x:f>IF(G111="","",G111/(1+H111))</x:f>
      </x:c>
      <x:c r="J111" s="67" t="str">
        <x:f>IF(G111="","",G111-I111)</x:f>
      </x:c>
      <x:c r="K111" s="11"/>
      <x:c r="L111" s="11"/>
      <x:c r="M111" s="11"/>
      <x:c r="N111" s="11"/>
      <x:c r="O111" s="11"/>
      <x:c r="P111" s="2"/>
      <x:c r="Q111" s="2"/>
    </x:row>
    <x:row r="112">
      <x:c r="A112" s="65"/>
      <x:c r="B112" s="11"/>
      <x:c r="C112" s="11"/>
      <x:c r="D112" s="11"/>
      <x:c r="E112" s="11"/>
      <x:c r="F112" s="11"/>
      <x:c r="G112" s="66"/>
      <x:c r="H112" s="13"/>
      <x:c r="I112" s="67" t="str">
        <x:f>IF(G112="","",G112/(1+H112))</x:f>
      </x:c>
      <x:c r="J112" s="67" t="str">
        <x:f>IF(G112="","",G112-I112)</x:f>
      </x:c>
      <x:c r="K112" s="11"/>
      <x:c r="L112" s="11"/>
      <x:c r="M112" s="11"/>
      <x:c r="N112" s="11"/>
      <x:c r="O112" s="11"/>
      <x:c r="P112" s="2"/>
      <x:c r="Q112" s="2"/>
    </x:row>
    <x:row r="113">
      <x:c r="A113" s="65"/>
      <x:c r="B113" s="11"/>
      <x:c r="C113" s="11"/>
      <x:c r="D113" s="11"/>
      <x:c r="E113" s="11"/>
      <x:c r="F113" s="11"/>
      <x:c r="G113" s="66"/>
      <x:c r="H113" s="13"/>
      <x:c r="I113" s="67" t="str">
        <x:f>IF(G113="","",G113/(1+H113))</x:f>
      </x:c>
      <x:c r="J113" s="67" t="str">
        <x:f>IF(G113="","",G113-I113)</x:f>
      </x:c>
      <x:c r="K113" s="11"/>
      <x:c r="L113" s="11"/>
      <x:c r="M113" s="11"/>
      <x:c r="N113" s="11"/>
      <x:c r="O113" s="11"/>
      <x:c r="P113" s="2"/>
      <x:c r="Q113" s="2"/>
    </x:row>
    <x:row r="114">
      <x:c r="A114" s="65"/>
      <x:c r="B114" s="11"/>
      <x:c r="C114" s="11"/>
      <x:c r="D114" s="11"/>
      <x:c r="E114" s="11"/>
      <x:c r="F114" s="11"/>
      <x:c r="G114" s="66"/>
      <x:c r="H114" s="13"/>
      <x:c r="I114" s="67" t="str">
        <x:f>IF(G114="","",G114/(1+H114))</x:f>
      </x:c>
      <x:c r="J114" s="67" t="str">
        <x:f>IF(G114="","",G114-I114)</x:f>
      </x:c>
      <x:c r="K114" s="11"/>
      <x:c r="L114" s="11"/>
      <x:c r="M114" s="11"/>
      <x:c r="N114" s="11"/>
      <x:c r="O114" s="11"/>
      <x:c r="P114" s="2"/>
      <x:c r="Q114" s="2"/>
    </x:row>
    <x:row r="115">
      <x:c r="A115" s="65"/>
      <x:c r="B115" s="11"/>
      <x:c r="C115" s="11"/>
      <x:c r="D115" s="11"/>
      <x:c r="E115" s="11"/>
      <x:c r="F115" s="11"/>
      <x:c r="G115" s="66"/>
      <x:c r="H115" s="13"/>
      <x:c r="I115" s="67" t="str">
        <x:f>IF(G115="","",G115/(1+H115))</x:f>
      </x:c>
      <x:c r="J115" s="67" t="str">
        <x:f>IF(G115="","",G115-I115)</x:f>
      </x:c>
      <x:c r="K115" s="11"/>
      <x:c r="L115" s="11"/>
      <x:c r="M115" s="11"/>
      <x:c r="N115" s="11"/>
      <x:c r="O115" s="11"/>
      <x:c r="P115" s="2"/>
      <x:c r="Q115" s="2"/>
    </x:row>
    <x:row r="116">
      <x:c r="A116" s="65"/>
      <x:c r="B116" s="11"/>
      <x:c r="C116" s="11"/>
      <x:c r="D116" s="11"/>
      <x:c r="E116" s="11"/>
      <x:c r="F116" s="11"/>
      <x:c r="G116" s="66"/>
      <x:c r="H116" s="13"/>
      <x:c r="I116" s="67" t="str">
        <x:f>IF(G116="","",G116/(1+H116))</x:f>
      </x:c>
      <x:c r="J116" s="67" t="str">
        <x:f>IF(G116="","",G116-I116)</x:f>
      </x:c>
      <x:c r="K116" s="11"/>
      <x:c r="L116" s="11"/>
      <x:c r="M116" s="11"/>
      <x:c r="N116" s="11"/>
      <x:c r="O116" s="11"/>
      <x:c r="P116" s="2"/>
      <x:c r="Q116" s="2"/>
    </x:row>
    <x:row r="117">
      <x:c r="A117" s="65"/>
      <x:c r="B117" s="11"/>
      <x:c r="C117" s="11"/>
      <x:c r="D117" s="11"/>
      <x:c r="E117" s="11"/>
      <x:c r="F117" s="11"/>
      <x:c r="G117" s="66"/>
      <x:c r="H117" s="13"/>
      <x:c r="I117" s="67" t="str">
        <x:f>IF(G117="","",G117/(1+H117))</x:f>
      </x:c>
      <x:c r="J117" s="67" t="str">
        <x:f>IF(G117="","",G117-I117)</x:f>
      </x:c>
      <x:c r="K117" s="11"/>
      <x:c r="L117" s="11"/>
      <x:c r="M117" s="11"/>
      <x:c r="N117" s="11"/>
      <x:c r="O117" s="11"/>
      <x:c r="P117" s="2"/>
      <x:c r="Q117" s="2"/>
    </x:row>
    <x:row r="118">
      <x:c r="A118" s="65"/>
      <x:c r="B118" s="11"/>
      <x:c r="C118" s="11"/>
      <x:c r="D118" s="11"/>
      <x:c r="E118" s="11"/>
      <x:c r="F118" s="11"/>
      <x:c r="G118" s="66"/>
      <x:c r="H118" s="13"/>
      <x:c r="I118" s="67" t="str">
        <x:f>IF(G118="","",G118/(1+H118))</x:f>
      </x:c>
      <x:c r="J118" s="67" t="str">
        <x:f>IF(G118="","",G118-I118)</x:f>
      </x:c>
      <x:c r="K118" s="11"/>
      <x:c r="L118" s="11"/>
      <x:c r="M118" s="11"/>
      <x:c r="N118" s="11"/>
      <x:c r="O118" s="11"/>
      <x:c r="P118" s="2"/>
      <x:c r="Q118" s="2"/>
    </x:row>
    <x:row r="119">
      <x:c r="A119" s="65"/>
      <x:c r="B119" s="11"/>
      <x:c r="C119" s="11"/>
      <x:c r="D119" s="11"/>
      <x:c r="E119" s="11"/>
      <x:c r="F119" s="11"/>
      <x:c r="G119" s="66"/>
      <x:c r="H119" s="13"/>
      <x:c r="I119" s="67" t="str">
        <x:f>IF(G119="","",G119/(1+H119))</x:f>
      </x:c>
      <x:c r="J119" s="67" t="str">
        <x:f>IF(G119="","",G119-I119)</x:f>
      </x:c>
      <x:c r="K119" s="11"/>
      <x:c r="L119" s="11"/>
      <x:c r="M119" s="11"/>
      <x:c r="N119" s="11"/>
      <x:c r="O119" s="11"/>
      <x:c r="P119" s="2"/>
      <x:c r="Q119" s="2"/>
    </x:row>
    <x:row r="120">
      <x:c r="A120" s="65"/>
      <x:c r="B120" s="11"/>
      <x:c r="C120" s="11"/>
      <x:c r="D120" s="11"/>
      <x:c r="E120" s="11"/>
      <x:c r="F120" s="11"/>
      <x:c r="G120" s="66"/>
      <x:c r="H120" s="13"/>
      <x:c r="I120" s="67" t="str">
        <x:f>IF(G120="","",G120/(1+H120))</x:f>
      </x:c>
      <x:c r="J120" s="67" t="str">
        <x:f>IF(G120="","",G120-I120)</x:f>
      </x:c>
      <x:c r="K120" s="11"/>
      <x:c r="L120" s="11"/>
      <x:c r="M120" s="11"/>
      <x:c r="N120" s="11"/>
      <x:c r="O120" s="11"/>
      <x:c r="P120" s="2"/>
      <x:c r="Q120" s="2"/>
    </x:row>
    <x:row r="121">
      <x:c r="A121" s="65"/>
      <x:c r="B121" s="11"/>
      <x:c r="C121" s="11"/>
      <x:c r="D121" s="11"/>
      <x:c r="E121" s="11"/>
      <x:c r="F121" s="11"/>
      <x:c r="G121" s="66"/>
      <x:c r="H121" s="13"/>
      <x:c r="I121" s="67" t="str">
        <x:f>IF(G121="","",G121/(1+H121))</x:f>
      </x:c>
      <x:c r="J121" s="67" t="str">
        <x:f>IF(G121="","",G121-I121)</x:f>
      </x:c>
      <x:c r="K121" s="11"/>
      <x:c r="L121" s="11"/>
      <x:c r="M121" s="11"/>
      <x:c r="N121" s="11"/>
      <x:c r="O121" s="11"/>
      <x:c r="P121" s="2"/>
      <x:c r="Q121" s="2"/>
    </x:row>
    <x:row r="122">
      <x:c r="A122" s="65"/>
      <x:c r="B122" s="11"/>
      <x:c r="C122" s="11"/>
      <x:c r="D122" s="11"/>
      <x:c r="E122" s="11"/>
      <x:c r="F122" s="11"/>
      <x:c r="G122" s="66"/>
      <x:c r="H122" s="13"/>
      <x:c r="I122" s="67" t="str">
        <x:f>IF(G122="","",G122/(1+H122))</x:f>
      </x:c>
      <x:c r="J122" s="67" t="str">
        <x:f>IF(G122="","",G122-I122)</x:f>
      </x:c>
      <x:c r="K122" s="11"/>
      <x:c r="L122" s="11"/>
      <x:c r="M122" s="11"/>
      <x:c r="N122" s="11"/>
      <x:c r="O122" s="11"/>
      <x:c r="P122" s="2"/>
      <x:c r="Q122" s="2"/>
    </x:row>
    <x:row r="123">
      <x:c r="A123" s="65"/>
      <x:c r="B123" s="11"/>
      <x:c r="C123" s="11"/>
      <x:c r="D123" s="11"/>
      <x:c r="E123" s="11"/>
      <x:c r="F123" s="11"/>
      <x:c r="G123" s="66"/>
      <x:c r="H123" s="13"/>
      <x:c r="I123" s="67" t="str">
        <x:f>IF(G123="","",G123/(1+H123))</x:f>
      </x:c>
      <x:c r="J123" s="67" t="str">
        <x:f>IF(G123="","",G123-I123)</x:f>
      </x:c>
      <x:c r="K123" s="11"/>
      <x:c r="L123" s="11"/>
      <x:c r="M123" s="11"/>
      <x:c r="N123" s="11"/>
      <x:c r="O123" s="11"/>
      <x:c r="P123" s="2"/>
      <x:c r="Q123" s="2"/>
    </x:row>
    <x:row r="124">
      <x:c r="A124" s="65"/>
      <x:c r="B124" s="11"/>
      <x:c r="C124" s="11"/>
      <x:c r="D124" s="11"/>
      <x:c r="E124" s="11"/>
      <x:c r="F124" s="11"/>
      <x:c r="G124" s="66"/>
      <x:c r="H124" s="13"/>
      <x:c r="I124" s="67" t="str">
        <x:f>IF(G124="","",G124/(1+H124))</x:f>
      </x:c>
      <x:c r="J124" s="67" t="str">
        <x:f>IF(G124="","",G124-I124)</x:f>
      </x:c>
      <x:c r="K124" s="11"/>
      <x:c r="L124" s="11"/>
      <x:c r="M124" s="11"/>
      <x:c r="N124" s="11"/>
      <x:c r="O124" s="11"/>
      <x:c r="P124" s="2"/>
      <x:c r="Q124" s="2"/>
    </x:row>
    <x:row r="125">
      <x:c r="A125" s="65"/>
      <x:c r="B125" s="11"/>
      <x:c r="C125" s="11"/>
      <x:c r="D125" s="11"/>
      <x:c r="E125" s="11"/>
      <x:c r="F125" s="11"/>
      <x:c r="G125" s="66"/>
      <x:c r="H125" s="13"/>
      <x:c r="I125" s="67" t="str">
        <x:f>IF(G125="","",G125/(1+H125))</x:f>
      </x:c>
      <x:c r="J125" s="67" t="str">
        <x:f>IF(G125="","",G125-I125)</x:f>
      </x:c>
      <x:c r="K125" s="11"/>
      <x:c r="L125" s="11"/>
      <x:c r="M125" s="11"/>
      <x:c r="N125" s="11"/>
      <x:c r="O125" s="11"/>
      <x:c r="P125" s="2"/>
      <x:c r="Q125" s="2"/>
    </x:row>
    <x:row r="126">
      <x:c r="A126" s="65"/>
      <x:c r="B126" s="11"/>
      <x:c r="C126" s="11"/>
      <x:c r="D126" s="11"/>
      <x:c r="E126" s="11"/>
      <x:c r="F126" s="11"/>
      <x:c r="G126" s="66"/>
      <x:c r="H126" s="13"/>
      <x:c r="I126" s="67" t="str">
        <x:f>IF(G126="","",G126/(1+H126))</x:f>
      </x:c>
      <x:c r="J126" s="67" t="str">
        <x:f>IF(G126="","",G126-I126)</x:f>
      </x:c>
      <x:c r="K126" s="11"/>
      <x:c r="L126" s="11"/>
      <x:c r="M126" s="11"/>
      <x:c r="N126" s="11"/>
      <x:c r="O126" s="11"/>
      <x:c r="P126" s="2"/>
      <x:c r="Q126" s="2"/>
    </x:row>
    <x:row r="127">
      <x:c r="A127" s="65"/>
      <x:c r="B127" s="11"/>
      <x:c r="C127" s="11"/>
      <x:c r="D127" s="11"/>
      <x:c r="E127" s="11"/>
      <x:c r="F127" s="11"/>
      <x:c r="G127" s="66"/>
      <x:c r="H127" s="13"/>
      <x:c r="I127" s="67" t="str">
        <x:f>IF(G127="","",G127/(1+H127))</x:f>
      </x:c>
      <x:c r="J127" s="67" t="str">
        <x:f>IF(G127="","",G127-I127)</x:f>
      </x:c>
      <x:c r="K127" s="11"/>
      <x:c r="L127" s="11"/>
      <x:c r="M127" s="11"/>
      <x:c r="N127" s="11"/>
      <x:c r="O127" s="11"/>
      <x:c r="P127" s="2"/>
      <x:c r="Q127" s="2"/>
    </x:row>
    <x:row r="128">
      <x:c r="A128" s="65"/>
      <x:c r="B128" s="11"/>
      <x:c r="C128" s="11"/>
      <x:c r="D128" s="11"/>
      <x:c r="E128" s="11"/>
      <x:c r="F128" s="11"/>
      <x:c r="G128" s="66"/>
      <x:c r="H128" s="13"/>
      <x:c r="I128" s="67" t="str">
        <x:f>IF(G128="","",G128/(1+H128))</x:f>
      </x:c>
      <x:c r="J128" s="67" t="str">
        <x:f>IF(G128="","",G128-I128)</x:f>
      </x:c>
      <x:c r="K128" s="11"/>
      <x:c r="L128" s="11"/>
      <x:c r="M128" s="11"/>
      <x:c r="N128" s="11"/>
      <x:c r="O128" s="11"/>
      <x:c r="P128" s="2"/>
      <x:c r="Q128" s="2"/>
    </x:row>
    <x:row r="129">
      <x:c r="A129" s="65"/>
      <x:c r="B129" s="11"/>
      <x:c r="C129" s="11"/>
      <x:c r="D129" s="11"/>
      <x:c r="E129" s="11"/>
      <x:c r="F129" s="11"/>
      <x:c r="G129" s="66"/>
      <x:c r="H129" s="13"/>
      <x:c r="I129" s="67" t="str">
        <x:f>IF(G129="","",G129/(1+H129))</x:f>
      </x:c>
      <x:c r="J129" s="67" t="str">
        <x:f>IF(G129="","",G129-I129)</x:f>
      </x:c>
      <x:c r="K129" s="11"/>
      <x:c r="L129" s="11"/>
      <x:c r="M129" s="11"/>
      <x:c r="N129" s="11"/>
      <x:c r="O129" s="11"/>
      <x:c r="P129" s="2"/>
      <x:c r="Q129" s="2"/>
    </x:row>
    <x:row r="130">
      <x:c r="A130" s="65"/>
      <x:c r="B130" s="11"/>
      <x:c r="C130" s="11"/>
      <x:c r="D130" s="11"/>
      <x:c r="E130" s="11"/>
      <x:c r="F130" s="11"/>
      <x:c r="G130" s="66"/>
      <x:c r="H130" s="13"/>
      <x:c r="I130" s="67" t="str">
        <x:f>IF(G130="","",G130/(1+H130))</x:f>
      </x:c>
      <x:c r="J130" s="67" t="str">
        <x:f>IF(G130="","",G130-I130)</x:f>
      </x:c>
      <x:c r="K130" s="11"/>
      <x:c r="L130" s="11"/>
      <x:c r="M130" s="11"/>
      <x:c r="N130" s="11"/>
      <x:c r="O130" s="11"/>
      <x:c r="P130" s="2"/>
      <x:c r="Q130" s="2"/>
    </x:row>
    <x:row r="131">
      <x:c r="A131" s="65"/>
      <x:c r="B131" s="11"/>
      <x:c r="C131" s="11"/>
      <x:c r="D131" s="11"/>
      <x:c r="E131" s="11"/>
      <x:c r="F131" s="11"/>
      <x:c r="G131" s="66"/>
      <x:c r="H131" s="13"/>
      <x:c r="I131" s="67" t="str">
        <x:f>IF(G131="","",G131/(1+H131))</x:f>
      </x:c>
      <x:c r="J131" s="67" t="str">
        <x:f>IF(G131="","",G131-I131)</x:f>
      </x:c>
      <x:c r="K131" s="11"/>
      <x:c r="L131" s="11"/>
      <x:c r="M131" s="11"/>
      <x:c r="N131" s="11"/>
      <x:c r="O131" s="11"/>
      <x:c r="P131" s="2"/>
      <x:c r="Q131" s="2"/>
    </x:row>
    <x:row r="132">
      <x:c r="A132" s="65"/>
      <x:c r="B132" s="11"/>
      <x:c r="C132" s="11"/>
      <x:c r="D132" s="11"/>
      <x:c r="E132" s="11"/>
      <x:c r="F132" s="11"/>
      <x:c r="G132" s="66"/>
      <x:c r="H132" s="13"/>
      <x:c r="I132" s="67" t="str">
        <x:f>IF(G132="","",G132/(1+H132))</x:f>
      </x:c>
      <x:c r="J132" s="67" t="str">
        <x:f>IF(G132="","",G132-I132)</x:f>
      </x:c>
      <x:c r="K132" s="11"/>
      <x:c r="L132" s="11"/>
      <x:c r="M132" s="11"/>
      <x:c r="N132" s="11"/>
      <x:c r="O132" s="11"/>
      <x:c r="P132" s="2"/>
      <x:c r="Q132" s="2"/>
    </x:row>
    <x:row r="133">
      <x:c r="A133" s="65"/>
      <x:c r="B133" s="11"/>
      <x:c r="C133" s="11"/>
      <x:c r="D133" s="11"/>
      <x:c r="E133" s="11"/>
      <x:c r="F133" s="11"/>
      <x:c r="G133" s="66"/>
      <x:c r="H133" s="13"/>
      <x:c r="I133" s="67" t="str">
        <x:f>IF(G133="","",G133/(1+H133))</x:f>
      </x:c>
      <x:c r="J133" s="67" t="str">
        <x:f>IF(G133="","",G133-I133)</x:f>
      </x:c>
      <x:c r="K133" s="11"/>
      <x:c r="L133" s="11"/>
      <x:c r="M133" s="11"/>
      <x:c r="N133" s="11"/>
      <x:c r="O133" s="11"/>
      <x:c r="P133" s="2"/>
      <x:c r="Q133" s="2"/>
    </x:row>
    <x:row r="134">
      <x:c r="A134" s="65"/>
      <x:c r="B134" s="11"/>
      <x:c r="C134" s="11"/>
      <x:c r="D134" s="11"/>
      <x:c r="E134" s="11"/>
      <x:c r="F134" s="11"/>
      <x:c r="G134" s="66"/>
      <x:c r="H134" s="13"/>
      <x:c r="I134" s="67" t="str">
        <x:f>IF(G134="","",G134/(1+H134))</x:f>
      </x:c>
      <x:c r="J134" s="67" t="str">
        <x:f>IF(G134="","",G134-I134)</x:f>
      </x:c>
      <x:c r="K134" s="11"/>
      <x:c r="L134" s="11"/>
      <x:c r="M134" s="11"/>
      <x:c r="N134" s="11"/>
      <x:c r="O134" s="11"/>
      <x:c r="P134" s="2"/>
      <x:c r="Q134" s="2"/>
    </x:row>
    <x:row r="135">
      <x:c r="A135" s="65"/>
      <x:c r="B135" s="11"/>
      <x:c r="C135" s="11"/>
      <x:c r="D135" s="11"/>
      <x:c r="E135" s="11"/>
      <x:c r="F135" s="11"/>
      <x:c r="G135" s="66"/>
      <x:c r="H135" s="13"/>
      <x:c r="I135" s="67" t="str">
        <x:f>IF(G135="","",G135/(1+H135))</x:f>
      </x:c>
      <x:c r="J135" s="67" t="str">
        <x:f>IF(G135="","",G135-I135)</x:f>
      </x:c>
      <x:c r="K135" s="11"/>
      <x:c r="L135" s="11"/>
      <x:c r="M135" s="11"/>
      <x:c r="N135" s="11"/>
      <x:c r="O135" s="11"/>
      <x:c r="P135" s="2"/>
      <x:c r="Q135" s="2"/>
    </x:row>
    <x:row r="136">
      <x:c r="A136" s="65"/>
      <x:c r="B136" s="11"/>
      <x:c r="C136" s="11"/>
      <x:c r="D136" s="11"/>
      <x:c r="E136" s="11"/>
      <x:c r="F136" s="11"/>
      <x:c r="G136" s="66"/>
      <x:c r="H136" s="13"/>
      <x:c r="I136" s="67" t="str">
        <x:f>IF(G136="","",G136/(1+H136))</x:f>
      </x:c>
      <x:c r="J136" s="67" t="str">
        <x:f>IF(G136="","",G136-I136)</x:f>
      </x:c>
      <x:c r="K136" s="11"/>
      <x:c r="L136" s="11"/>
      <x:c r="M136" s="11"/>
      <x:c r="N136" s="11"/>
      <x:c r="O136" s="11"/>
      <x:c r="P136" s="2"/>
      <x:c r="Q136" s="2"/>
    </x:row>
    <x:row r="137">
      <x:c r="A137" s="65"/>
      <x:c r="B137" s="11"/>
      <x:c r="C137" s="11"/>
      <x:c r="D137" s="11"/>
      <x:c r="E137" s="11"/>
      <x:c r="F137" s="11"/>
      <x:c r="G137" s="66"/>
      <x:c r="H137" s="13"/>
      <x:c r="I137" s="67" t="str">
        <x:f>IF(G137="","",G137/(1+H137))</x:f>
      </x:c>
      <x:c r="J137" s="67" t="str">
        <x:f>IF(G137="","",G137-I137)</x:f>
      </x:c>
      <x:c r="K137" s="11"/>
      <x:c r="L137" s="11"/>
      <x:c r="M137" s="11"/>
      <x:c r="N137" s="11"/>
      <x:c r="O137" s="11"/>
      <x:c r="P137" s="2"/>
      <x:c r="Q137" s="2"/>
    </x:row>
    <x:row r="138">
      <x:c r="A138" s="65"/>
      <x:c r="B138" s="11"/>
      <x:c r="C138" s="11"/>
      <x:c r="D138" s="11"/>
      <x:c r="E138" s="11"/>
      <x:c r="F138" s="11"/>
      <x:c r="G138" s="66"/>
      <x:c r="H138" s="13"/>
      <x:c r="I138" s="67" t="str">
        <x:f>IF(G138="","",G138/(1+H138))</x:f>
      </x:c>
      <x:c r="J138" s="67" t="str">
        <x:f>IF(G138="","",G138-I138)</x:f>
      </x:c>
      <x:c r="K138" s="11"/>
      <x:c r="L138" s="11"/>
      <x:c r="M138" s="11"/>
      <x:c r="N138" s="11"/>
      <x:c r="O138" s="11"/>
      <x:c r="P138" s="2"/>
      <x:c r="Q138" s="2"/>
    </x:row>
    <x:row r="139">
      <x:c r="A139" s="65"/>
      <x:c r="B139" s="11"/>
      <x:c r="C139" s="11"/>
      <x:c r="D139" s="11"/>
      <x:c r="E139" s="11"/>
      <x:c r="F139" s="11"/>
      <x:c r="G139" s="66"/>
      <x:c r="H139" s="13"/>
      <x:c r="I139" s="67" t="str">
        <x:f>IF(G139="","",G139/(1+H139))</x:f>
      </x:c>
      <x:c r="J139" s="67" t="str">
        <x:f>IF(G139="","",G139-I139)</x:f>
      </x:c>
      <x:c r="K139" s="11"/>
      <x:c r="L139" s="11"/>
      <x:c r="M139" s="11"/>
      <x:c r="N139" s="11"/>
      <x:c r="O139" s="11"/>
      <x:c r="P139" s="2"/>
      <x:c r="Q139" s="2"/>
    </x:row>
    <x:row r="140">
      <x:c r="A140" s="65"/>
      <x:c r="B140" s="11"/>
      <x:c r="C140" s="11"/>
      <x:c r="D140" s="11"/>
      <x:c r="E140" s="11"/>
      <x:c r="F140" s="11"/>
      <x:c r="G140" s="66"/>
      <x:c r="H140" s="13"/>
      <x:c r="I140" s="67" t="str">
        <x:f>IF(G140="","",G140/(1+H140))</x:f>
      </x:c>
      <x:c r="J140" s="67" t="str">
        <x:f>IF(G140="","",G140-I140)</x:f>
      </x:c>
      <x:c r="K140" s="11"/>
      <x:c r="L140" s="11"/>
      <x:c r="M140" s="11"/>
      <x:c r="N140" s="11"/>
      <x:c r="O140" s="11"/>
      <x:c r="P140" s="2"/>
      <x:c r="Q140" s="2"/>
    </x:row>
    <x:row r="141">
      <x:c r="A141" s="65"/>
      <x:c r="B141" s="11"/>
      <x:c r="C141" s="11"/>
      <x:c r="D141" s="11"/>
      <x:c r="E141" s="11"/>
      <x:c r="F141" s="11"/>
      <x:c r="G141" s="66"/>
      <x:c r="H141" s="13"/>
      <x:c r="I141" s="67" t="str">
        <x:f>IF(G141="","",G141/(1+H141))</x:f>
      </x:c>
      <x:c r="J141" s="67" t="str">
        <x:f>IF(G141="","",G141-I141)</x:f>
      </x:c>
      <x:c r="K141" s="11"/>
      <x:c r="L141" s="11"/>
      <x:c r="M141" s="11"/>
      <x:c r="N141" s="11"/>
      <x:c r="O141" s="11"/>
      <x:c r="P141" s="2"/>
      <x:c r="Q141" s="2"/>
    </x:row>
    <x:row r="142">
      <x:c r="A142" s="65"/>
      <x:c r="B142" s="11"/>
      <x:c r="C142" s="11"/>
      <x:c r="D142" s="11"/>
      <x:c r="E142" s="11"/>
      <x:c r="F142" s="11"/>
      <x:c r="G142" s="66"/>
      <x:c r="H142" s="13"/>
      <x:c r="I142" s="67" t="str">
        <x:f>IF(G142="","",G142/(1+H142))</x:f>
      </x:c>
      <x:c r="J142" s="67" t="str">
        <x:f>IF(G142="","",G142-I142)</x:f>
      </x:c>
      <x:c r="K142" s="11"/>
      <x:c r="L142" s="11"/>
      <x:c r="M142" s="11"/>
      <x:c r="N142" s="11"/>
      <x:c r="O142" s="11"/>
      <x:c r="P142" s="2"/>
      <x:c r="Q142" s="2"/>
    </x:row>
    <x:row r="143">
      <x:c r="A143" s="65"/>
      <x:c r="B143" s="11"/>
      <x:c r="C143" s="11"/>
      <x:c r="D143" s="11"/>
      <x:c r="E143" s="11"/>
      <x:c r="F143" s="11"/>
      <x:c r="G143" s="66"/>
      <x:c r="H143" s="13"/>
      <x:c r="I143" s="67" t="str">
        <x:f>IF(G143="","",G143/(1+H143))</x:f>
      </x:c>
      <x:c r="J143" s="67" t="str">
        <x:f>IF(G143="","",G143-I143)</x:f>
      </x:c>
      <x:c r="K143" s="11"/>
      <x:c r="L143" s="11"/>
      <x:c r="M143" s="11"/>
      <x:c r="N143" s="11"/>
      <x:c r="O143" s="11"/>
      <x:c r="P143" s="2"/>
      <x:c r="Q143" s="2"/>
    </x:row>
    <x:row r="144">
      <x:c r="A144" s="65"/>
      <x:c r="B144" s="11"/>
      <x:c r="C144" s="11"/>
      <x:c r="D144" s="11"/>
      <x:c r="E144" s="11"/>
      <x:c r="F144" s="11"/>
      <x:c r="G144" s="66"/>
      <x:c r="H144" s="13"/>
      <x:c r="I144" s="67" t="str">
        <x:f>IF(G144="","",G144/(1+H144))</x:f>
      </x:c>
      <x:c r="J144" s="67" t="str">
        <x:f>IF(G144="","",G144-I144)</x:f>
      </x:c>
      <x:c r="K144" s="11"/>
      <x:c r="L144" s="11"/>
      <x:c r="M144" s="11"/>
      <x:c r="N144" s="11"/>
      <x:c r="O144" s="11"/>
      <x:c r="P144" s="2"/>
      <x:c r="Q144" s="2"/>
    </x:row>
    <x:row r="145">
      <x:c r="A145" s="65"/>
      <x:c r="B145" s="11"/>
      <x:c r="C145" s="11"/>
      <x:c r="D145" s="11"/>
      <x:c r="E145" s="11"/>
      <x:c r="F145" s="11"/>
      <x:c r="G145" s="66"/>
      <x:c r="H145" s="13"/>
      <x:c r="I145" s="67" t="str">
        <x:f>IF(G145="","",G145/(1+H145))</x:f>
      </x:c>
      <x:c r="J145" s="67" t="str">
        <x:f>IF(G145="","",G145-I145)</x:f>
      </x:c>
      <x:c r="K145" s="11"/>
      <x:c r="L145" s="11"/>
      <x:c r="M145" s="11"/>
      <x:c r="N145" s="11"/>
      <x:c r="O145" s="11"/>
      <x:c r="P145" s="2"/>
      <x:c r="Q145" s="2"/>
    </x:row>
    <x:row r="146">
      <x:c r="A146" s="65"/>
      <x:c r="B146" s="11"/>
      <x:c r="C146" s="11"/>
      <x:c r="D146" s="11"/>
      <x:c r="E146" s="11"/>
      <x:c r="F146" s="11"/>
      <x:c r="G146" s="66"/>
      <x:c r="H146" s="13"/>
      <x:c r="I146" s="67" t="str">
        <x:f>IF(G146="","",G146/(1+H146))</x:f>
      </x:c>
      <x:c r="J146" s="67" t="str">
        <x:f>IF(G146="","",G146-I146)</x:f>
      </x:c>
      <x:c r="K146" s="11"/>
      <x:c r="L146" s="11"/>
      <x:c r="M146" s="11"/>
      <x:c r="N146" s="11"/>
      <x:c r="O146" s="11"/>
      <x:c r="P146" s="2"/>
      <x:c r="Q146" s="2"/>
    </x:row>
    <x:row r="147">
      <x:c r="A147" s="65"/>
      <x:c r="B147" s="11"/>
      <x:c r="C147" s="11"/>
      <x:c r="D147" s="11"/>
      <x:c r="E147" s="11"/>
      <x:c r="F147" s="11"/>
      <x:c r="G147" s="66"/>
      <x:c r="H147" s="13"/>
      <x:c r="I147" s="67" t="str">
        <x:f>IF(G147="","",G147/(1+H147))</x:f>
      </x:c>
      <x:c r="J147" s="67" t="str">
        <x:f>IF(G147="","",G147-I147)</x:f>
      </x:c>
      <x:c r="K147" s="11"/>
      <x:c r="L147" s="11"/>
      <x:c r="M147" s="11"/>
      <x:c r="N147" s="11"/>
      <x:c r="O147" s="11"/>
      <x:c r="P147" s="2"/>
      <x:c r="Q147" s="2"/>
    </x:row>
    <x:row r="148">
      <x:c r="A148" s="65"/>
      <x:c r="B148" s="11"/>
      <x:c r="C148" s="11"/>
      <x:c r="D148" s="11"/>
      <x:c r="E148" s="11"/>
      <x:c r="F148" s="11"/>
      <x:c r="G148" s="66"/>
      <x:c r="H148" s="13"/>
      <x:c r="I148" s="67" t="str">
        <x:f>IF(G148="","",G148/(1+H148))</x:f>
      </x:c>
      <x:c r="J148" s="67" t="str">
        <x:f>IF(G148="","",G148-I148)</x:f>
      </x:c>
      <x:c r="K148" s="11"/>
      <x:c r="L148" s="11"/>
      <x:c r="M148" s="11"/>
      <x:c r="N148" s="11"/>
      <x:c r="O148" s="11"/>
      <x:c r="P148" s="2"/>
      <x:c r="Q148" s="2"/>
    </x:row>
    <x:row r="149">
      <x:c r="A149" s="65"/>
      <x:c r="B149" s="11"/>
      <x:c r="C149" s="11"/>
      <x:c r="D149" s="11"/>
      <x:c r="E149" s="11"/>
      <x:c r="F149" s="11"/>
      <x:c r="G149" s="66"/>
      <x:c r="H149" s="13"/>
      <x:c r="I149" s="67" t="str">
        <x:f>IF(G149="","",G149/(1+H149))</x:f>
      </x:c>
      <x:c r="J149" s="67" t="str">
        <x:f>IF(G149="","",G149-I149)</x:f>
      </x:c>
      <x:c r="K149" s="11"/>
      <x:c r="L149" s="11"/>
      <x:c r="M149" s="11"/>
      <x:c r="N149" s="11"/>
      <x:c r="O149" s="11"/>
      <x:c r="P149" s="2"/>
      <x:c r="Q149" s="2"/>
    </x:row>
    <x:row r="150">
      <x:c r="A150" s="65"/>
      <x:c r="B150" s="11"/>
      <x:c r="C150" s="11"/>
      <x:c r="D150" s="11"/>
      <x:c r="E150" s="11"/>
      <x:c r="F150" s="11"/>
      <x:c r="G150" s="66"/>
      <x:c r="H150" s="13"/>
      <x:c r="I150" s="67" t="str">
        <x:f>IF(G150="","",G150/(1+H150))</x:f>
      </x:c>
      <x:c r="J150" s="67" t="str">
        <x:f>IF(G150="","",G150-I150)</x:f>
      </x:c>
      <x:c r="K150" s="11"/>
      <x:c r="L150" s="11"/>
      <x:c r="M150" s="11"/>
      <x:c r="N150" s="11"/>
      <x:c r="O150" s="11"/>
      <x:c r="P150" s="2"/>
      <x:c r="Q150" s="2"/>
    </x:row>
    <x:row r="151">
      <x:c r="A151" s="65"/>
      <x:c r="B151" s="11"/>
      <x:c r="C151" s="11"/>
      <x:c r="D151" s="11"/>
      <x:c r="E151" s="11"/>
      <x:c r="F151" s="11"/>
      <x:c r="G151" s="66"/>
      <x:c r="H151" s="13"/>
      <x:c r="I151" s="67" t="str">
        <x:f>IF(G151="","",G151/(1+H151))</x:f>
      </x:c>
      <x:c r="J151" s="67" t="str">
        <x:f>IF(G151="","",G151-I151)</x:f>
      </x:c>
      <x:c r="K151" s="11"/>
      <x:c r="L151" s="11"/>
      <x:c r="M151" s="11"/>
      <x:c r="N151" s="11"/>
      <x:c r="O151" s="11"/>
      <x:c r="P151" s="2"/>
      <x:c r="Q151" s="2"/>
    </x:row>
    <x:row r="152">
      <x:c r="A152" s="65"/>
      <x:c r="B152" s="11"/>
      <x:c r="C152" s="11"/>
      <x:c r="D152" s="11"/>
      <x:c r="E152" s="11"/>
      <x:c r="F152" s="11"/>
      <x:c r="G152" s="66"/>
      <x:c r="H152" s="13"/>
      <x:c r="I152" s="67" t="str">
        <x:f>IF(G152="","",G152/(1+H152))</x:f>
      </x:c>
      <x:c r="J152" s="67" t="str">
        <x:f>IF(G152="","",G152-I152)</x:f>
      </x:c>
      <x:c r="K152" s="11"/>
      <x:c r="L152" s="11"/>
      <x:c r="M152" s="11"/>
      <x:c r="N152" s="11"/>
      <x:c r="O152" s="11"/>
      <x:c r="P152" s="2"/>
      <x:c r="Q152" s="2"/>
    </x:row>
    <x:row r="153">
      <x:c r="A153" s="65"/>
      <x:c r="B153" s="11"/>
      <x:c r="C153" s="11"/>
      <x:c r="D153" s="11"/>
      <x:c r="E153" s="11"/>
      <x:c r="F153" s="11"/>
      <x:c r="G153" s="66"/>
      <x:c r="H153" s="13"/>
      <x:c r="I153" s="67" t="str">
        <x:f>IF(G153="","",G153/(1+H153))</x:f>
      </x:c>
      <x:c r="J153" s="67" t="str">
        <x:f>IF(G153="","",G153-I153)</x:f>
      </x:c>
      <x:c r="K153" s="11"/>
      <x:c r="L153" s="11"/>
      <x:c r="M153" s="11"/>
      <x:c r="N153" s="11"/>
      <x:c r="O153" s="11"/>
      <x:c r="P153" s="2"/>
      <x:c r="Q153" s="2"/>
    </x:row>
    <x:row r="154">
      <x:c r="A154" s="65"/>
      <x:c r="B154" s="11"/>
      <x:c r="C154" s="11"/>
      <x:c r="D154" s="11"/>
      <x:c r="E154" s="11"/>
      <x:c r="F154" s="11"/>
      <x:c r="G154" s="66"/>
      <x:c r="H154" s="13"/>
      <x:c r="I154" s="67" t="str">
        <x:f>IF(G154="","",G154/(1+H154))</x:f>
      </x:c>
      <x:c r="J154" s="67" t="str">
        <x:f>IF(G154="","",G154-I154)</x:f>
      </x:c>
      <x:c r="K154" s="11"/>
      <x:c r="L154" s="11"/>
      <x:c r="M154" s="11"/>
      <x:c r="N154" s="11"/>
      <x:c r="O154" s="11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</x:sheetData>
  <x:mergeCells>
    <x:mergeCell ref="A2:O2"/>
  </x:mergeCells>
  <x:dataValidations count="5">
    <x:dataValidation type="list" sqref="B5:B154">
      <x:formula1>"销项,进项"</x:formula1>
    </x:dataValidation>
    <x:dataValidation type="list" sqref="C5:C154">
      <x:formula1>"数电普票,数电专票,纸票,收据/其他"</x:formula1>
    </x:dataValidation>
    <x:dataValidation type="list" sqref="H5:H154">
      <x:formula1>"0,0.01,0.03,0.06,0.13"</x:formula1>
    </x:dataValidation>
    <x:dataValidation type="list" sqref="K5:K154">
      <x:formula1>"正常,红冲,作废"</x:formula1>
    </x:dataValidation>
    <x:dataValidation type="list" sqref="L5:L154">
      <x:formula1>"未收/付,部分收/付,已收/付"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c273acd5b549e4"/>
  </x:tableParts>
</x:worksheet>
</file>

<file path=xl/worksheets/sheet3.xml><?xml version="1.0" encoding="utf-8"?>
<x:worksheet xmlns:x="http://schemas.openxmlformats.org/spreadsheetml/2006/main">
  <x:sheetPr>
    <x:tabColor rgb="FFA9D18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银行流水与付款证据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</x:row>
    <x:row r="4" ht="30" customHeight="1">
      <x:c r="A4" s="61" t="str">
        <x:v>日期</x:v>
      </x:c>
      <x:c r="B4" s="62" t="str">
        <x:v>公司账户</x:v>
      </x:c>
      <x:c r="C4" s="62" t="str">
        <x:v>银行流水号</x:v>
      </x:c>
      <x:c r="D4" s="62" t="str">
        <x:v>方向</x:v>
      </x:c>
      <x:c r="E4" s="62" t="str">
        <x:v>对方名称</x:v>
      </x:c>
      <x:c r="F4" s="62" t="str">
        <x:v>摘要</x:v>
      </x:c>
      <x:c r="G4" s="62" t="str">
        <x:v>金额</x:v>
      </x:c>
      <x:c r="H4" s="62" t="str">
        <x:v>项目/合同号</x:v>
      </x:c>
      <x:c r="I4" s="62" t="str">
        <x:v>业务类型</x:v>
      </x:c>
      <x:c r="J4" s="62" t="str">
        <x:v>发票号码</x:v>
      </x:c>
      <x:c r="K4" s="62" t="str">
        <x:v>凭证号</x:v>
      </x:c>
      <x:c r="L4" s="62" t="str">
        <x:v>已对账</x:v>
      </x:c>
      <x:c r="M4" s="62" t="str">
        <x:v>附件文件名</x:v>
      </x:c>
      <x:c r="N4" s="63" t="str">
        <x:v>备注</x:v>
      </x:c>
      <x:c r="O4" s="2"/>
      <x:c r="P4" s="2"/>
      <x:c r="Q4" s="2"/>
    </x:row>
    <x:row r="5">
      <x:c r="A5" s="65" t="n">
        <x:v>46024</x:v>
      </x:c>
      <x:c r="B5" s="11" t="str">
        <x:v>基本户</x:v>
      </x:c>
      <x:c r="C5" s="11" t="str">
        <x:v>示例B001</x:v>
      </x:c>
      <x:c r="D5" s="11" t="str">
        <x:v>收</x:v>
      </x:c>
      <x:c r="E5" s="11" t="str">
        <x:v>股东本人</x:v>
      </x:c>
      <x:c r="F5" s="11" t="str">
        <x:v>股东实缴出资</x:v>
      </x:c>
      <x:c r="G5" s="66" t="n">
        <x:v>10000</x:v>
      </x:c>
      <x:c r="H5" s="11" t="str"/>
      <x:c r="I5" s="11" t="str">
        <x:v>股东出资</x:v>
      </x:c>
      <x:c r="J5" s="11" t="str"/>
      <x:c r="K5" s="11" t="str">
        <x:v>记-001</x:v>
      </x:c>
      <x:c r="L5" s="11" t="str">
        <x:v>是</x:v>
      </x:c>
      <x:c r="M5" s="11" t="str">
        <x:v>B001.pdf</x:v>
      </x:c>
      <x:c r="N5" s="11" t="str">
        <x:v>转账备注写投资款；请覆盖</x:v>
      </x:c>
      <x:c r="O5" s="2"/>
      <x:c r="P5" s="2"/>
      <x:c r="Q5" s="2"/>
    </x:row>
    <x:row r="6">
      <x:c r="A6" s="65" t="n">
        <x:v>46037</x:v>
      </x:c>
      <x:c r="B6" s="11" t="str">
        <x:v>基本户</x:v>
      </x:c>
      <x:c r="C6" s="11" t="str">
        <x:v>示例B002</x:v>
      </x:c>
      <x:c r="D6" s="11" t="str">
        <x:v>收</x:v>
      </x:c>
      <x:c r="E6" s="11" t="str">
        <x:v>示例客户</x:v>
      </x:c>
      <x:c r="F6" s="11" t="str">
        <x:v>项目回款</x:v>
      </x:c>
      <x:c r="G6" s="66" t="n">
        <x:v>10000</x:v>
      </x:c>
      <x:c r="H6" s="11" t="str">
        <x:v>示例-软件开发</x:v>
      </x:c>
      <x:c r="I6" s="11" t="str">
        <x:v>客户回款</x:v>
      </x:c>
      <x:c r="J6" s="11" t="str">
        <x:v>示例001</x:v>
      </x:c>
      <x:c r="K6" s="11" t="str">
        <x:v>记-002</x:v>
      </x:c>
      <x:c r="L6" s="11" t="str">
        <x:v>是</x:v>
      </x:c>
      <x:c r="M6" s="11" t="str">
        <x:v>B002.pdf</x:v>
      </x:c>
      <x:c r="N6" s="11" t="str">
        <x:v>请覆盖</x:v>
      </x:c>
      <x:c r="O6" s="2"/>
      <x:c r="P6" s="2"/>
      <x:c r="Q6" s="2"/>
    </x:row>
    <x:row r="7">
      <x:c r="A7" s="65" t="n">
        <x:v>46042</x:v>
      </x:c>
      <x:c r="B7" s="11" t="str">
        <x:v>基本户</x:v>
      </x:c>
      <x:c r="C7" s="11" t="str">
        <x:v>示例B003</x:v>
      </x:c>
      <x:c r="D7" s="11" t="str">
        <x:v>支</x:v>
      </x:c>
      <x:c r="E7" s="11" t="str">
        <x:v>股东本人</x:v>
      </x:c>
      <x:c r="F7" s="11" t="str">
        <x:v>报销业务支出</x:v>
      </x:c>
      <x:c r="G7" s="66" t="n">
        <x:v>500</x:v>
      </x:c>
      <x:c r="H7" s="11" t="str">
        <x:v>示例-软件开发</x:v>
      </x:c>
      <x:c r="I7" s="11" t="str">
        <x:v>费用报销</x:v>
      </x:c>
      <x:c r="J7" s="11" t="str">
        <x:v>示例002</x:v>
      </x:c>
      <x:c r="K7" s="11" t="str">
        <x:v>记-003</x:v>
      </x:c>
      <x:c r="L7" s="11" t="str">
        <x:v>是</x:v>
      </x:c>
      <x:c r="M7" s="11" t="str">
        <x:v>B003.pdf</x:v>
      </x:c>
      <x:c r="N7" s="11" t="str">
        <x:v>需报销单及业务证据；请覆盖</x:v>
      </x:c>
      <x:c r="O7" s="2"/>
      <x:c r="P7" s="2"/>
      <x:c r="Q7" s="2"/>
    </x:row>
    <x:row r="8">
      <x:c r="A8" s="65"/>
      <x:c r="B8" s="11"/>
      <x:c r="C8" s="11"/>
      <x:c r="D8" s="11"/>
      <x:c r="E8" s="11"/>
      <x:c r="F8" s="11"/>
      <x:c r="G8" s="66"/>
      <x:c r="H8" s="11"/>
      <x:c r="I8" s="11"/>
      <x:c r="J8" s="11"/>
      <x:c r="K8" s="11"/>
      <x:c r="L8" s="11"/>
      <x:c r="M8" s="11"/>
      <x:c r="N8" s="11"/>
      <x:c r="O8" s="2"/>
      <x:c r="P8" s="2"/>
      <x:c r="Q8" s="2"/>
    </x:row>
    <x:row r="9">
      <x:c r="A9" s="65"/>
      <x:c r="B9" s="11"/>
      <x:c r="C9" s="11"/>
      <x:c r="D9" s="11"/>
      <x:c r="E9" s="11"/>
      <x:c r="F9" s="11"/>
      <x:c r="G9" s="66"/>
      <x:c r="H9" s="11"/>
      <x:c r="I9" s="11"/>
      <x:c r="J9" s="11"/>
      <x:c r="K9" s="11"/>
      <x:c r="L9" s="11"/>
      <x:c r="M9" s="11"/>
      <x:c r="N9" s="11"/>
      <x:c r="O9" s="2"/>
      <x:c r="P9" s="2"/>
      <x:c r="Q9" s="2"/>
    </x:row>
    <x:row r="10">
      <x:c r="A10" s="65"/>
      <x:c r="B10" s="11"/>
      <x:c r="C10" s="11"/>
      <x:c r="D10" s="11"/>
      <x:c r="E10" s="11"/>
      <x:c r="F10" s="11"/>
      <x:c r="G10" s="66"/>
      <x:c r="H10" s="11"/>
      <x:c r="I10" s="11"/>
      <x:c r="J10" s="11"/>
      <x:c r="K10" s="11"/>
      <x:c r="L10" s="11"/>
      <x:c r="M10" s="11"/>
      <x:c r="N10" s="11"/>
      <x:c r="O10" s="2"/>
      <x:c r="P10" s="2"/>
      <x:c r="Q10" s="2"/>
    </x:row>
    <x:row r="11">
      <x:c r="A11" s="65"/>
      <x:c r="B11" s="11"/>
      <x:c r="C11" s="11"/>
      <x:c r="D11" s="11"/>
      <x:c r="E11" s="11"/>
      <x:c r="F11" s="11"/>
      <x:c r="G11" s="66"/>
      <x:c r="H11" s="11"/>
      <x:c r="I11" s="11"/>
      <x:c r="J11" s="11"/>
      <x:c r="K11" s="11"/>
      <x:c r="L11" s="11"/>
      <x:c r="M11" s="11"/>
      <x:c r="N11" s="11"/>
      <x:c r="O11" s="2"/>
      <x:c r="P11" s="2"/>
      <x:c r="Q11" s="2"/>
    </x:row>
    <x:row r="12">
      <x:c r="A12" s="65"/>
      <x:c r="B12" s="11"/>
      <x:c r="C12" s="11"/>
      <x:c r="D12" s="11"/>
      <x:c r="E12" s="11"/>
      <x:c r="F12" s="11"/>
      <x:c r="G12" s="66"/>
      <x:c r="H12" s="11"/>
      <x:c r="I12" s="11"/>
      <x:c r="J12" s="11"/>
      <x:c r="K12" s="11"/>
      <x:c r="L12" s="11"/>
      <x:c r="M12" s="11"/>
      <x:c r="N12" s="11"/>
      <x:c r="O12" s="2"/>
      <x:c r="P12" s="2"/>
      <x:c r="Q12" s="2"/>
    </x:row>
    <x:row r="13">
      <x:c r="A13" s="65"/>
      <x:c r="B13" s="11"/>
      <x:c r="C13" s="11"/>
      <x:c r="D13" s="11"/>
      <x:c r="E13" s="11"/>
      <x:c r="F13" s="11"/>
      <x:c r="G13" s="66"/>
      <x:c r="H13" s="11"/>
      <x:c r="I13" s="11"/>
      <x:c r="J13" s="11"/>
      <x:c r="K13" s="11"/>
      <x:c r="L13" s="11"/>
      <x:c r="M13" s="11"/>
      <x:c r="N13" s="11"/>
      <x:c r="O13" s="2"/>
      <x:c r="P13" s="2"/>
      <x:c r="Q13" s="2"/>
    </x:row>
    <x:row r="14">
      <x:c r="A14" s="65"/>
      <x:c r="B14" s="11"/>
      <x:c r="C14" s="11"/>
      <x:c r="D14" s="11"/>
      <x:c r="E14" s="11"/>
      <x:c r="F14" s="11"/>
      <x:c r="G14" s="66"/>
      <x:c r="H14" s="11"/>
      <x:c r="I14" s="11"/>
      <x:c r="J14" s="11"/>
      <x:c r="K14" s="11"/>
      <x:c r="L14" s="11"/>
      <x:c r="M14" s="11"/>
      <x:c r="N14" s="11"/>
      <x:c r="O14" s="2"/>
      <x:c r="P14" s="2"/>
      <x:c r="Q14" s="2"/>
    </x:row>
    <x:row r="15">
      <x:c r="A15" s="65"/>
      <x:c r="B15" s="11"/>
      <x:c r="C15" s="11"/>
      <x:c r="D15" s="11"/>
      <x:c r="E15" s="11"/>
      <x:c r="F15" s="11"/>
      <x:c r="G15" s="66"/>
      <x:c r="H15" s="11"/>
      <x:c r="I15" s="11"/>
      <x:c r="J15" s="11"/>
      <x:c r="K15" s="11"/>
      <x:c r="L15" s="11"/>
      <x:c r="M15" s="11"/>
      <x:c r="N15" s="11"/>
      <x:c r="O15" s="2"/>
      <x:c r="P15" s="2"/>
      <x:c r="Q15" s="2"/>
    </x:row>
    <x:row r="16">
      <x:c r="A16" s="65"/>
      <x:c r="B16" s="11"/>
      <x:c r="C16" s="11"/>
      <x:c r="D16" s="11"/>
      <x:c r="E16" s="11"/>
      <x:c r="F16" s="11"/>
      <x:c r="G16" s="66"/>
      <x:c r="H16" s="11"/>
      <x:c r="I16" s="11"/>
      <x:c r="J16" s="11"/>
      <x:c r="K16" s="11"/>
      <x:c r="L16" s="11"/>
      <x:c r="M16" s="11"/>
      <x:c r="N16" s="11"/>
      <x:c r="O16" s="2"/>
      <x:c r="P16" s="2"/>
      <x:c r="Q16" s="2"/>
    </x:row>
    <x:row r="17">
      <x:c r="A17" s="65"/>
      <x:c r="B17" s="11"/>
      <x:c r="C17" s="11"/>
      <x:c r="D17" s="11"/>
      <x:c r="E17" s="11"/>
      <x:c r="F17" s="11"/>
      <x:c r="G17" s="66"/>
      <x:c r="H17" s="11"/>
      <x:c r="I17" s="11"/>
      <x:c r="J17" s="11"/>
      <x:c r="K17" s="11"/>
      <x:c r="L17" s="11"/>
      <x:c r="M17" s="11"/>
      <x:c r="N17" s="11"/>
      <x:c r="O17" s="2"/>
      <x:c r="P17" s="2"/>
      <x:c r="Q17" s="2"/>
    </x:row>
    <x:row r="18">
      <x:c r="A18" s="65"/>
      <x:c r="B18" s="11"/>
      <x:c r="C18" s="11"/>
      <x:c r="D18" s="11"/>
      <x:c r="E18" s="11"/>
      <x:c r="F18" s="11"/>
      <x:c r="G18" s="66"/>
      <x:c r="H18" s="11"/>
      <x:c r="I18" s="11"/>
      <x:c r="J18" s="11"/>
      <x:c r="K18" s="11"/>
      <x:c r="L18" s="11"/>
      <x:c r="M18" s="11"/>
      <x:c r="N18" s="11"/>
      <x:c r="O18" s="2"/>
      <x:c r="P18" s="2"/>
      <x:c r="Q18" s="2"/>
    </x:row>
    <x:row r="19">
      <x:c r="A19" s="65"/>
      <x:c r="B19" s="11"/>
      <x:c r="C19" s="11"/>
      <x:c r="D19" s="11"/>
      <x:c r="E19" s="11"/>
      <x:c r="F19" s="11"/>
      <x:c r="G19" s="66"/>
      <x:c r="H19" s="11"/>
      <x:c r="I19" s="11"/>
      <x:c r="J19" s="11"/>
      <x:c r="K19" s="11"/>
      <x:c r="L19" s="11"/>
      <x:c r="M19" s="11"/>
      <x:c r="N19" s="11"/>
      <x:c r="O19" s="2"/>
      <x:c r="P19" s="2"/>
      <x:c r="Q19" s="2"/>
    </x:row>
    <x:row r="20">
      <x:c r="A20" s="65"/>
      <x:c r="B20" s="11"/>
      <x:c r="C20" s="11"/>
      <x:c r="D20" s="11"/>
      <x:c r="E20" s="11"/>
      <x:c r="F20" s="11"/>
      <x:c r="G20" s="66"/>
      <x:c r="H20" s="11"/>
      <x:c r="I20" s="11"/>
      <x:c r="J20" s="11"/>
      <x:c r="K20" s="11"/>
      <x:c r="L20" s="11"/>
      <x:c r="M20" s="11"/>
      <x:c r="N20" s="11"/>
      <x:c r="O20" s="2"/>
      <x:c r="P20" s="2"/>
      <x:c r="Q20" s="2"/>
    </x:row>
    <x:row r="21">
      <x:c r="A21" s="65"/>
      <x:c r="B21" s="11"/>
      <x:c r="C21" s="11"/>
      <x:c r="D21" s="11"/>
      <x:c r="E21" s="11"/>
      <x:c r="F21" s="11"/>
      <x:c r="G21" s="66"/>
      <x:c r="H21" s="11"/>
      <x:c r="I21" s="11"/>
      <x:c r="J21" s="11"/>
      <x:c r="K21" s="11"/>
      <x:c r="L21" s="11"/>
      <x:c r="M21" s="11"/>
      <x:c r="N21" s="11"/>
      <x:c r="O21" s="2"/>
      <x:c r="P21" s="2"/>
      <x:c r="Q21" s="2"/>
    </x:row>
    <x:row r="22">
      <x:c r="A22" s="65"/>
      <x:c r="B22" s="11"/>
      <x:c r="C22" s="11"/>
      <x:c r="D22" s="11"/>
      <x:c r="E22" s="11"/>
      <x:c r="F22" s="11"/>
      <x:c r="G22" s="66"/>
      <x:c r="H22" s="11"/>
      <x:c r="I22" s="11"/>
      <x:c r="J22" s="11"/>
      <x:c r="K22" s="11"/>
      <x:c r="L22" s="11"/>
      <x:c r="M22" s="11"/>
      <x:c r="N22" s="11"/>
      <x:c r="O22" s="2"/>
      <x:c r="P22" s="2"/>
      <x:c r="Q22" s="2"/>
    </x:row>
    <x:row r="23">
      <x:c r="A23" s="65"/>
      <x:c r="B23" s="11"/>
      <x:c r="C23" s="11"/>
      <x:c r="D23" s="11"/>
      <x:c r="E23" s="11"/>
      <x:c r="F23" s="11"/>
      <x:c r="G23" s="66"/>
      <x:c r="H23" s="11"/>
      <x:c r="I23" s="11"/>
      <x:c r="J23" s="11"/>
      <x:c r="K23" s="11"/>
      <x:c r="L23" s="11"/>
      <x:c r="M23" s="11"/>
      <x:c r="N23" s="11"/>
      <x:c r="O23" s="2"/>
      <x:c r="P23" s="2"/>
      <x:c r="Q23" s="2"/>
    </x:row>
    <x:row r="24">
      <x:c r="A24" s="65"/>
      <x:c r="B24" s="11"/>
      <x:c r="C24" s="11"/>
      <x:c r="D24" s="11"/>
      <x:c r="E24" s="11"/>
      <x:c r="F24" s="11"/>
      <x:c r="G24" s="66"/>
      <x:c r="H24" s="11"/>
      <x:c r="I24" s="11"/>
      <x:c r="J24" s="11"/>
      <x:c r="K24" s="11"/>
      <x:c r="L24" s="11"/>
      <x:c r="M24" s="11"/>
      <x:c r="N24" s="11"/>
      <x:c r="O24" s="2"/>
      <x:c r="P24" s="2"/>
      <x:c r="Q24" s="2"/>
    </x:row>
    <x:row r="25">
      <x:c r="A25" s="65"/>
      <x:c r="B25" s="11"/>
      <x:c r="C25" s="11"/>
      <x:c r="D25" s="11"/>
      <x:c r="E25" s="11"/>
      <x:c r="F25" s="11"/>
      <x:c r="G25" s="66"/>
      <x:c r="H25" s="11"/>
      <x:c r="I25" s="11"/>
      <x:c r="J25" s="11"/>
      <x:c r="K25" s="11"/>
      <x:c r="L25" s="11"/>
      <x:c r="M25" s="11"/>
      <x:c r="N25" s="11"/>
      <x:c r="O25" s="2"/>
      <x:c r="P25" s="2"/>
      <x:c r="Q25" s="2"/>
    </x:row>
    <x:row r="26">
      <x:c r="A26" s="65"/>
      <x:c r="B26" s="11"/>
      <x:c r="C26" s="11"/>
      <x:c r="D26" s="11"/>
      <x:c r="E26" s="11"/>
      <x:c r="F26" s="11"/>
      <x:c r="G26" s="66"/>
      <x:c r="H26" s="11"/>
      <x:c r="I26" s="11"/>
      <x:c r="J26" s="11"/>
      <x:c r="K26" s="11"/>
      <x:c r="L26" s="11"/>
      <x:c r="M26" s="11"/>
      <x:c r="N26" s="11"/>
      <x:c r="O26" s="2"/>
      <x:c r="P26" s="2"/>
      <x:c r="Q26" s="2"/>
    </x:row>
    <x:row r="27">
      <x:c r="A27" s="65"/>
      <x:c r="B27" s="11"/>
      <x:c r="C27" s="11"/>
      <x:c r="D27" s="11"/>
      <x:c r="E27" s="11"/>
      <x:c r="F27" s="11"/>
      <x:c r="G27" s="66"/>
      <x:c r="H27" s="11"/>
      <x:c r="I27" s="11"/>
      <x:c r="J27" s="11"/>
      <x:c r="K27" s="11"/>
      <x:c r="L27" s="11"/>
      <x:c r="M27" s="11"/>
      <x:c r="N27" s="11"/>
      <x:c r="O27" s="2"/>
      <x:c r="P27" s="2"/>
      <x:c r="Q27" s="2"/>
    </x:row>
    <x:row r="28">
      <x:c r="A28" s="65"/>
      <x:c r="B28" s="11"/>
      <x:c r="C28" s="11"/>
      <x:c r="D28" s="11"/>
      <x:c r="E28" s="11"/>
      <x:c r="F28" s="11"/>
      <x:c r="G28" s="66"/>
      <x:c r="H28" s="11"/>
      <x:c r="I28" s="11"/>
      <x:c r="J28" s="11"/>
      <x:c r="K28" s="11"/>
      <x:c r="L28" s="11"/>
      <x:c r="M28" s="11"/>
      <x:c r="N28" s="11"/>
      <x:c r="O28" s="2"/>
      <x:c r="P28" s="2"/>
      <x:c r="Q28" s="2"/>
    </x:row>
    <x:row r="29">
      <x:c r="A29" s="65"/>
      <x:c r="B29" s="11"/>
      <x:c r="C29" s="11"/>
      <x:c r="D29" s="11"/>
      <x:c r="E29" s="11"/>
      <x:c r="F29" s="11"/>
      <x:c r="G29" s="66"/>
      <x:c r="H29" s="11"/>
      <x:c r="I29" s="11"/>
      <x:c r="J29" s="11"/>
      <x:c r="K29" s="11"/>
      <x:c r="L29" s="11"/>
      <x:c r="M29" s="11"/>
      <x:c r="N29" s="11"/>
      <x:c r="O29" s="2"/>
      <x:c r="P29" s="2"/>
      <x:c r="Q29" s="2"/>
    </x:row>
    <x:row r="30">
      <x:c r="A30" s="65"/>
      <x:c r="B30" s="11"/>
      <x:c r="C30" s="11"/>
      <x:c r="D30" s="11"/>
      <x:c r="E30" s="11"/>
      <x:c r="F30" s="11"/>
      <x:c r="G30" s="66"/>
      <x:c r="H30" s="11"/>
      <x:c r="I30" s="11"/>
      <x:c r="J30" s="11"/>
      <x:c r="K30" s="11"/>
      <x:c r="L30" s="11"/>
      <x:c r="M30" s="11"/>
      <x:c r="N30" s="11"/>
      <x:c r="O30" s="2"/>
      <x:c r="P30" s="2"/>
      <x:c r="Q30" s="2"/>
    </x:row>
    <x:row r="31">
      <x:c r="A31" s="65"/>
      <x:c r="B31" s="11"/>
      <x:c r="C31" s="11"/>
      <x:c r="D31" s="11"/>
      <x:c r="E31" s="11"/>
      <x:c r="F31" s="11"/>
      <x:c r="G31" s="66"/>
      <x:c r="H31" s="11"/>
      <x:c r="I31" s="11"/>
      <x:c r="J31" s="11"/>
      <x:c r="K31" s="11"/>
      <x:c r="L31" s="11"/>
      <x:c r="M31" s="11"/>
      <x:c r="N31" s="11"/>
      <x:c r="O31" s="2"/>
      <x:c r="P31" s="2"/>
      <x:c r="Q31" s="2"/>
    </x:row>
    <x:row r="32">
      <x:c r="A32" s="65"/>
      <x:c r="B32" s="11"/>
      <x:c r="C32" s="11"/>
      <x:c r="D32" s="11"/>
      <x:c r="E32" s="11"/>
      <x:c r="F32" s="11"/>
      <x:c r="G32" s="66"/>
      <x:c r="H32" s="11"/>
      <x:c r="I32" s="11"/>
      <x:c r="J32" s="11"/>
      <x:c r="K32" s="11"/>
      <x:c r="L32" s="11"/>
      <x:c r="M32" s="11"/>
      <x:c r="N32" s="11"/>
      <x:c r="O32" s="2"/>
      <x:c r="P32" s="2"/>
      <x:c r="Q32" s="2"/>
    </x:row>
    <x:row r="33">
      <x:c r="A33" s="65"/>
      <x:c r="B33" s="11"/>
      <x:c r="C33" s="11"/>
      <x:c r="D33" s="11"/>
      <x:c r="E33" s="11"/>
      <x:c r="F33" s="11"/>
      <x:c r="G33" s="66"/>
      <x:c r="H33" s="11"/>
      <x:c r="I33" s="11"/>
      <x:c r="J33" s="11"/>
      <x:c r="K33" s="11"/>
      <x:c r="L33" s="11"/>
      <x:c r="M33" s="11"/>
      <x:c r="N33" s="11"/>
      <x:c r="O33" s="2"/>
      <x:c r="P33" s="2"/>
      <x:c r="Q33" s="2"/>
    </x:row>
    <x:row r="34">
      <x:c r="A34" s="65"/>
      <x:c r="B34" s="11"/>
      <x:c r="C34" s="11"/>
      <x:c r="D34" s="11"/>
      <x:c r="E34" s="11"/>
      <x:c r="F34" s="11"/>
      <x:c r="G34" s="66"/>
      <x:c r="H34" s="11"/>
      <x:c r="I34" s="11"/>
      <x:c r="J34" s="11"/>
      <x:c r="K34" s="11"/>
      <x:c r="L34" s="11"/>
      <x:c r="M34" s="11"/>
      <x:c r="N34" s="11"/>
      <x:c r="O34" s="2"/>
      <x:c r="P34" s="2"/>
      <x:c r="Q34" s="2"/>
    </x:row>
    <x:row r="35">
      <x:c r="A35" s="65"/>
      <x:c r="B35" s="11"/>
      <x:c r="C35" s="11"/>
      <x:c r="D35" s="11"/>
      <x:c r="E35" s="11"/>
      <x:c r="F35" s="11"/>
      <x:c r="G35" s="66"/>
      <x:c r="H35" s="11"/>
      <x:c r="I35" s="11"/>
      <x:c r="J35" s="11"/>
      <x:c r="K35" s="11"/>
      <x:c r="L35" s="11"/>
      <x:c r="M35" s="11"/>
      <x:c r="N35" s="11"/>
      <x:c r="O35" s="2"/>
      <x:c r="P35" s="2"/>
      <x:c r="Q35" s="2"/>
    </x:row>
    <x:row r="36">
      <x:c r="A36" s="65"/>
      <x:c r="B36" s="11"/>
      <x:c r="C36" s="11"/>
      <x:c r="D36" s="11"/>
      <x:c r="E36" s="11"/>
      <x:c r="F36" s="11"/>
      <x:c r="G36" s="66"/>
      <x:c r="H36" s="11"/>
      <x:c r="I36" s="11"/>
      <x:c r="J36" s="11"/>
      <x:c r="K36" s="11"/>
      <x:c r="L36" s="11"/>
      <x:c r="M36" s="11"/>
      <x:c r="N36" s="11"/>
      <x:c r="O36" s="2"/>
      <x:c r="P36" s="2"/>
      <x:c r="Q36" s="2"/>
    </x:row>
    <x:row r="37">
      <x:c r="A37" s="65"/>
      <x:c r="B37" s="11"/>
      <x:c r="C37" s="11"/>
      <x:c r="D37" s="11"/>
      <x:c r="E37" s="11"/>
      <x:c r="F37" s="11"/>
      <x:c r="G37" s="66"/>
      <x:c r="H37" s="11"/>
      <x:c r="I37" s="11"/>
      <x:c r="J37" s="11"/>
      <x:c r="K37" s="11"/>
      <x:c r="L37" s="11"/>
      <x:c r="M37" s="11"/>
      <x:c r="N37" s="11"/>
      <x:c r="O37" s="2"/>
      <x:c r="P37" s="2"/>
      <x:c r="Q37" s="2"/>
    </x:row>
    <x:row r="38">
      <x:c r="A38" s="65"/>
      <x:c r="B38" s="11"/>
      <x:c r="C38" s="11"/>
      <x:c r="D38" s="11"/>
      <x:c r="E38" s="11"/>
      <x:c r="F38" s="11"/>
      <x:c r="G38" s="66"/>
      <x:c r="H38" s="11"/>
      <x:c r="I38" s="11"/>
      <x:c r="J38" s="11"/>
      <x:c r="K38" s="11"/>
      <x:c r="L38" s="11"/>
      <x:c r="M38" s="11"/>
      <x:c r="N38" s="11"/>
      <x:c r="O38" s="2"/>
      <x:c r="P38" s="2"/>
      <x:c r="Q38" s="2"/>
    </x:row>
    <x:row r="39">
      <x:c r="A39" s="65"/>
      <x:c r="B39" s="11"/>
      <x:c r="C39" s="11"/>
      <x:c r="D39" s="11"/>
      <x:c r="E39" s="11"/>
      <x:c r="F39" s="11"/>
      <x:c r="G39" s="66"/>
      <x:c r="H39" s="11"/>
      <x:c r="I39" s="11"/>
      <x:c r="J39" s="11"/>
      <x:c r="K39" s="11"/>
      <x:c r="L39" s="11"/>
      <x:c r="M39" s="11"/>
      <x:c r="N39" s="11"/>
      <x:c r="O39" s="2"/>
      <x:c r="P39" s="2"/>
      <x:c r="Q39" s="2"/>
    </x:row>
    <x:row r="40">
      <x:c r="A40" s="65"/>
      <x:c r="B40" s="11"/>
      <x:c r="C40" s="11"/>
      <x:c r="D40" s="11"/>
      <x:c r="E40" s="11"/>
      <x:c r="F40" s="11"/>
      <x:c r="G40" s="66"/>
      <x:c r="H40" s="11"/>
      <x:c r="I40" s="11"/>
      <x:c r="J40" s="11"/>
      <x:c r="K40" s="11"/>
      <x:c r="L40" s="11"/>
      <x:c r="M40" s="11"/>
      <x:c r="N40" s="11"/>
      <x:c r="O40" s="2"/>
      <x:c r="P40" s="2"/>
      <x:c r="Q40" s="2"/>
    </x:row>
    <x:row r="41">
      <x:c r="A41" s="65"/>
      <x:c r="B41" s="11"/>
      <x:c r="C41" s="11"/>
      <x:c r="D41" s="11"/>
      <x:c r="E41" s="11"/>
      <x:c r="F41" s="11"/>
      <x:c r="G41" s="66"/>
      <x:c r="H41" s="11"/>
      <x:c r="I41" s="11"/>
      <x:c r="J41" s="11"/>
      <x:c r="K41" s="11"/>
      <x:c r="L41" s="11"/>
      <x:c r="M41" s="11"/>
      <x:c r="N41" s="11"/>
      <x:c r="O41" s="2"/>
      <x:c r="P41" s="2"/>
      <x:c r="Q41" s="2"/>
    </x:row>
    <x:row r="42">
      <x:c r="A42" s="65"/>
      <x:c r="B42" s="11"/>
      <x:c r="C42" s="11"/>
      <x:c r="D42" s="11"/>
      <x:c r="E42" s="11"/>
      <x:c r="F42" s="11"/>
      <x:c r="G42" s="66"/>
      <x:c r="H42" s="11"/>
      <x:c r="I42" s="11"/>
      <x:c r="J42" s="11"/>
      <x:c r="K42" s="11"/>
      <x:c r="L42" s="11"/>
      <x:c r="M42" s="11"/>
      <x:c r="N42" s="11"/>
      <x:c r="O42" s="2"/>
      <x:c r="P42" s="2"/>
      <x:c r="Q42" s="2"/>
    </x:row>
    <x:row r="43">
      <x:c r="A43" s="65"/>
      <x:c r="B43" s="11"/>
      <x:c r="C43" s="11"/>
      <x:c r="D43" s="11"/>
      <x:c r="E43" s="11"/>
      <x:c r="F43" s="11"/>
      <x:c r="G43" s="66"/>
      <x:c r="H43" s="11"/>
      <x:c r="I43" s="11"/>
      <x:c r="J43" s="11"/>
      <x:c r="K43" s="11"/>
      <x:c r="L43" s="11"/>
      <x:c r="M43" s="11"/>
      <x:c r="N43" s="11"/>
      <x:c r="O43" s="2"/>
      <x:c r="P43" s="2"/>
      <x:c r="Q43" s="2"/>
    </x:row>
    <x:row r="44">
      <x:c r="A44" s="65"/>
      <x:c r="B44" s="11"/>
      <x:c r="C44" s="11"/>
      <x:c r="D44" s="11"/>
      <x:c r="E44" s="11"/>
      <x:c r="F44" s="11"/>
      <x:c r="G44" s="66"/>
      <x:c r="H44" s="11"/>
      <x:c r="I44" s="11"/>
      <x:c r="J44" s="11"/>
      <x:c r="K44" s="11"/>
      <x:c r="L44" s="11"/>
      <x:c r="M44" s="11"/>
      <x:c r="N44" s="11"/>
      <x:c r="O44" s="2"/>
      <x:c r="P44" s="2"/>
      <x:c r="Q44" s="2"/>
    </x:row>
    <x:row r="45">
      <x:c r="A45" s="65"/>
      <x:c r="B45" s="11"/>
      <x:c r="C45" s="11"/>
      <x:c r="D45" s="11"/>
      <x:c r="E45" s="11"/>
      <x:c r="F45" s="11"/>
      <x:c r="G45" s="66"/>
      <x:c r="H45" s="11"/>
      <x:c r="I45" s="11"/>
      <x:c r="J45" s="11"/>
      <x:c r="K45" s="11"/>
      <x:c r="L45" s="11"/>
      <x:c r="M45" s="11"/>
      <x:c r="N45" s="11"/>
      <x:c r="O45" s="2"/>
      <x:c r="P45" s="2"/>
      <x:c r="Q45" s="2"/>
    </x:row>
    <x:row r="46">
      <x:c r="A46" s="65"/>
      <x:c r="B46" s="11"/>
      <x:c r="C46" s="11"/>
      <x:c r="D46" s="11"/>
      <x:c r="E46" s="11"/>
      <x:c r="F46" s="11"/>
      <x:c r="G46" s="66"/>
      <x:c r="H46" s="11"/>
      <x:c r="I46" s="11"/>
      <x:c r="J46" s="11"/>
      <x:c r="K46" s="11"/>
      <x:c r="L46" s="11"/>
      <x:c r="M46" s="11"/>
      <x:c r="N46" s="11"/>
      <x:c r="O46" s="2"/>
      <x:c r="P46" s="2"/>
      <x:c r="Q46" s="2"/>
    </x:row>
    <x:row r="47">
      <x:c r="A47" s="65"/>
      <x:c r="B47" s="11"/>
      <x:c r="C47" s="11"/>
      <x:c r="D47" s="11"/>
      <x:c r="E47" s="11"/>
      <x:c r="F47" s="11"/>
      <x:c r="G47" s="66"/>
      <x:c r="H47" s="11"/>
      <x:c r="I47" s="11"/>
      <x:c r="J47" s="11"/>
      <x:c r="K47" s="11"/>
      <x:c r="L47" s="11"/>
      <x:c r="M47" s="11"/>
      <x:c r="N47" s="11"/>
      <x:c r="O47" s="2"/>
      <x:c r="P47" s="2"/>
      <x:c r="Q47" s="2"/>
    </x:row>
    <x:row r="48">
      <x:c r="A48" s="65"/>
      <x:c r="B48" s="11"/>
      <x:c r="C48" s="11"/>
      <x:c r="D48" s="11"/>
      <x:c r="E48" s="11"/>
      <x:c r="F48" s="11"/>
      <x:c r="G48" s="66"/>
      <x:c r="H48" s="11"/>
      <x:c r="I48" s="11"/>
      <x:c r="J48" s="11"/>
      <x:c r="K48" s="11"/>
      <x:c r="L48" s="11"/>
      <x:c r="M48" s="11"/>
      <x:c r="N48" s="11"/>
      <x:c r="O48" s="2"/>
      <x:c r="P48" s="2"/>
      <x:c r="Q48" s="2"/>
    </x:row>
    <x:row r="49">
      <x:c r="A49" s="65"/>
      <x:c r="B49" s="11"/>
      <x:c r="C49" s="11"/>
      <x:c r="D49" s="11"/>
      <x:c r="E49" s="11"/>
      <x:c r="F49" s="11"/>
      <x:c r="G49" s="66"/>
      <x:c r="H49" s="11"/>
      <x:c r="I49" s="11"/>
      <x:c r="J49" s="11"/>
      <x:c r="K49" s="11"/>
      <x:c r="L49" s="11"/>
      <x:c r="M49" s="11"/>
      <x:c r="N49" s="11"/>
      <x:c r="O49" s="2"/>
      <x:c r="P49" s="2"/>
      <x:c r="Q49" s="2"/>
    </x:row>
    <x:row r="50">
      <x:c r="A50" s="65"/>
      <x:c r="B50" s="11"/>
      <x:c r="C50" s="11"/>
      <x:c r="D50" s="11"/>
      <x:c r="E50" s="11"/>
      <x:c r="F50" s="11"/>
      <x:c r="G50" s="66"/>
      <x:c r="H50" s="11"/>
      <x:c r="I50" s="11"/>
      <x:c r="J50" s="11"/>
      <x:c r="K50" s="11"/>
      <x:c r="L50" s="11"/>
      <x:c r="M50" s="11"/>
      <x:c r="N50" s="11"/>
      <x:c r="O50" s="2"/>
      <x:c r="P50" s="2"/>
      <x:c r="Q50" s="2"/>
    </x:row>
    <x:row r="51">
      <x:c r="A51" s="65"/>
      <x:c r="B51" s="11"/>
      <x:c r="C51" s="11"/>
      <x:c r="D51" s="11"/>
      <x:c r="E51" s="11"/>
      <x:c r="F51" s="11"/>
      <x:c r="G51" s="66"/>
      <x:c r="H51" s="11"/>
      <x:c r="I51" s="11"/>
      <x:c r="J51" s="11"/>
      <x:c r="K51" s="11"/>
      <x:c r="L51" s="11"/>
      <x:c r="M51" s="11"/>
      <x:c r="N51" s="11"/>
      <x:c r="O51" s="2"/>
      <x:c r="P51" s="2"/>
      <x:c r="Q51" s="2"/>
    </x:row>
    <x:row r="52">
      <x:c r="A52" s="65"/>
      <x:c r="B52" s="11"/>
      <x:c r="C52" s="11"/>
      <x:c r="D52" s="11"/>
      <x:c r="E52" s="11"/>
      <x:c r="F52" s="11"/>
      <x:c r="G52" s="66"/>
      <x:c r="H52" s="11"/>
      <x:c r="I52" s="11"/>
      <x:c r="J52" s="11"/>
      <x:c r="K52" s="11"/>
      <x:c r="L52" s="11"/>
      <x:c r="M52" s="11"/>
      <x:c r="N52" s="11"/>
      <x:c r="O52" s="2"/>
      <x:c r="P52" s="2"/>
      <x:c r="Q52" s="2"/>
    </x:row>
    <x:row r="53">
      <x:c r="A53" s="65"/>
      <x:c r="B53" s="11"/>
      <x:c r="C53" s="11"/>
      <x:c r="D53" s="11"/>
      <x:c r="E53" s="11"/>
      <x:c r="F53" s="11"/>
      <x:c r="G53" s="66"/>
      <x:c r="H53" s="11"/>
      <x:c r="I53" s="11"/>
      <x:c r="J53" s="11"/>
      <x:c r="K53" s="11"/>
      <x:c r="L53" s="11"/>
      <x:c r="M53" s="11"/>
      <x:c r="N53" s="11"/>
      <x:c r="O53" s="2"/>
      <x:c r="P53" s="2"/>
      <x:c r="Q53" s="2"/>
    </x:row>
    <x:row r="54">
      <x:c r="A54" s="65"/>
      <x:c r="B54" s="11"/>
      <x:c r="C54" s="11"/>
      <x:c r="D54" s="11"/>
      <x:c r="E54" s="11"/>
      <x:c r="F54" s="11"/>
      <x:c r="G54" s="66"/>
      <x:c r="H54" s="11"/>
      <x:c r="I54" s="11"/>
      <x:c r="J54" s="11"/>
      <x:c r="K54" s="11"/>
      <x:c r="L54" s="11"/>
      <x:c r="M54" s="11"/>
      <x:c r="N54" s="11"/>
      <x:c r="O54" s="2"/>
      <x:c r="P54" s="2"/>
      <x:c r="Q54" s="2"/>
    </x:row>
    <x:row r="55">
      <x:c r="A55" s="65"/>
      <x:c r="B55" s="11"/>
      <x:c r="C55" s="11"/>
      <x:c r="D55" s="11"/>
      <x:c r="E55" s="11"/>
      <x:c r="F55" s="11"/>
      <x:c r="G55" s="66"/>
      <x:c r="H55" s="11"/>
      <x:c r="I55" s="11"/>
      <x:c r="J55" s="11"/>
      <x:c r="K55" s="11"/>
      <x:c r="L55" s="11"/>
      <x:c r="M55" s="11"/>
      <x:c r="N55" s="11"/>
      <x:c r="O55" s="2"/>
      <x:c r="P55" s="2"/>
      <x:c r="Q55" s="2"/>
    </x:row>
    <x:row r="56">
      <x:c r="A56" s="65"/>
      <x:c r="B56" s="11"/>
      <x:c r="C56" s="11"/>
      <x:c r="D56" s="11"/>
      <x:c r="E56" s="11"/>
      <x:c r="F56" s="11"/>
      <x:c r="G56" s="66"/>
      <x:c r="H56" s="11"/>
      <x:c r="I56" s="11"/>
      <x:c r="J56" s="11"/>
      <x:c r="K56" s="11"/>
      <x:c r="L56" s="11"/>
      <x:c r="M56" s="11"/>
      <x:c r="N56" s="11"/>
      <x:c r="O56" s="2"/>
      <x:c r="P56" s="2"/>
      <x:c r="Q56" s="2"/>
    </x:row>
    <x:row r="57">
      <x:c r="A57" s="65"/>
      <x:c r="B57" s="11"/>
      <x:c r="C57" s="11"/>
      <x:c r="D57" s="11"/>
      <x:c r="E57" s="11"/>
      <x:c r="F57" s="11"/>
      <x:c r="G57" s="66"/>
      <x:c r="H57" s="11"/>
      <x:c r="I57" s="11"/>
      <x:c r="J57" s="11"/>
      <x:c r="K57" s="11"/>
      <x:c r="L57" s="11"/>
      <x:c r="M57" s="11"/>
      <x:c r="N57" s="11"/>
      <x:c r="O57" s="2"/>
      <x:c r="P57" s="2"/>
      <x:c r="Q57" s="2"/>
    </x:row>
    <x:row r="58">
      <x:c r="A58" s="65"/>
      <x:c r="B58" s="11"/>
      <x:c r="C58" s="11"/>
      <x:c r="D58" s="11"/>
      <x:c r="E58" s="11"/>
      <x:c r="F58" s="11"/>
      <x:c r="G58" s="66"/>
      <x:c r="H58" s="11"/>
      <x:c r="I58" s="11"/>
      <x:c r="J58" s="11"/>
      <x:c r="K58" s="11"/>
      <x:c r="L58" s="11"/>
      <x:c r="M58" s="11"/>
      <x:c r="N58" s="11"/>
      <x:c r="O58" s="2"/>
      <x:c r="P58" s="2"/>
      <x:c r="Q58" s="2"/>
    </x:row>
    <x:row r="59">
      <x:c r="A59" s="65"/>
      <x:c r="B59" s="11"/>
      <x:c r="C59" s="11"/>
      <x:c r="D59" s="11"/>
      <x:c r="E59" s="11"/>
      <x:c r="F59" s="11"/>
      <x:c r="G59" s="66"/>
      <x:c r="H59" s="11"/>
      <x:c r="I59" s="11"/>
      <x:c r="J59" s="11"/>
      <x:c r="K59" s="11"/>
      <x:c r="L59" s="11"/>
      <x:c r="M59" s="11"/>
      <x:c r="N59" s="11"/>
      <x:c r="O59" s="2"/>
      <x:c r="P59" s="2"/>
      <x:c r="Q59" s="2"/>
    </x:row>
    <x:row r="60">
      <x:c r="A60" s="65"/>
      <x:c r="B60" s="11"/>
      <x:c r="C60" s="11"/>
      <x:c r="D60" s="11"/>
      <x:c r="E60" s="11"/>
      <x:c r="F60" s="11"/>
      <x:c r="G60" s="66"/>
      <x:c r="H60" s="11"/>
      <x:c r="I60" s="11"/>
      <x:c r="J60" s="11"/>
      <x:c r="K60" s="11"/>
      <x:c r="L60" s="11"/>
      <x:c r="M60" s="11"/>
      <x:c r="N60" s="11"/>
      <x:c r="O60" s="2"/>
      <x:c r="P60" s="2"/>
      <x:c r="Q60" s="2"/>
    </x:row>
    <x:row r="61">
      <x:c r="A61" s="65"/>
      <x:c r="B61" s="11"/>
      <x:c r="C61" s="11"/>
      <x:c r="D61" s="11"/>
      <x:c r="E61" s="11"/>
      <x:c r="F61" s="11"/>
      <x:c r="G61" s="66"/>
      <x:c r="H61" s="11"/>
      <x:c r="I61" s="11"/>
      <x:c r="J61" s="11"/>
      <x:c r="K61" s="11"/>
      <x:c r="L61" s="11"/>
      <x:c r="M61" s="11"/>
      <x:c r="N61" s="11"/>
      <x:c r="O61" s="2"/>
      <x:c r="P61" s="2"/>
      <x:c r="Q61" s="2"/>
    </x:row>
    <x:row r="62">
      <x:c r="A62" s="65"/>
      <x:c r="B62" s="11"/>
      <x:c r="C62" s="11"/>
      <x:c r="D62" s="11"/>
      <x:c r="E62" s="11"/>
      <x:c r="F62" s="11"/>
      <x:c r="G62" s="66"/>
      <x:c r="H62" s="11"/>
      <x:c r="I62" s="11"/>
      <x:c r="J62" s="11"/>
      <x:c r="K62" s="11"/>
      <x:c r="L62" s="11"/>
      <x:c r="M62" s="11"/>
      <x:c r="N62" s="11"/>
      <x:c r="O62" s="2"/>
      <x:c r="P62" s="2"/>
      <x:c r="Q62" s="2"/>
    </x:row>
    <x:row r="63">
      <x:c r="A63" s="65"/>
      <x:c r="B63" s="11"/>
      <x:c r="C63" s="11"/>
      <x:c r="D63" s="11"/>
      <x:c r="E63" s="11"/>
      <x:c r="F63" s="11"/>
      <x:c r="G63" s="66"/>
      <x:c r="H63" s="11"/>
      <x:c r="I63" s="11"/>
      <x:c r="J63" s="11"/>
      <x:c r="K63" s="11"/>
      <x:c r="L63" s="11"/>
      <x:c r="M63" s="11"/>
      <x:c r="N63" s="11"/>
      <x:c r="O63" s="2"/>
      <x:c r="P63" s="2"/>
      <x:c r="Q63" s="2"/>
    </x:row>
    <x:row r="64">
      <x:c r="A64" s="65"/>
      <x:c r="B64" s="11"/>
      <x:c r="C64" s="11"/>
      <x:c r="D64" s="11"/>
      <x:c r="E64" s="11"/>
      <x:c r="F64" s="11"/>
      <x:c r="G64" s="66"/>
      <x:c r="H64" s="11"/>
      <x:c r="I64" s="11"/>
      <x:c r="J64" s="11"/>
      <x:c r="K64" s="11"/>
      <x:c r="L64" s="11"/>
      <x:c r="M64" s="11"/>
      <x:c r="N64" s="11"/>
      <x:c r="O64" s="2"/>
      <x:c r="P64" s="2"/>
      <x:c r="Q64" s="2"/>
    </x:row>
    <x:row r="65">
      <x:c r="A65" s="65"/>
      <x:c r="B65" s="11"/>
      <x:c r="C65" s="11"/>
      <x:c r="D65" s="11"/>
      <x:c r="E65" s="11"/>
      <x:c r="F65" s="11"/>
      <x:c r="G65" s="66"/>
      <x:c r="H65" s="11"/>
      <x:c r="I65" s="11"/>
      <x:c r="J65" s="11"/>
      <x:c r="K65" s="11"/>
      <x:c r="L65" s="11"/>
      <x:c r="M65" s="11"/>
      <x:c r="N65" s="11"/>
      <x:c r="O65" s="2"/>
      <x:c r="P65" s="2"/>
      <x:c r="Q65" s="2"/>
    </x:row>
    <x:row r="66">
      <x:c r="A66" s="65"/>
      <x:c r="B66" s="11"/>
      <x:c r="C66" s="11"/>
      <x:c r="D66" s="11"/>
      <x:c r="E66" s="11"/>
      <x:c r="F66" s="11"/>
      <x:c r="G66" s="66"/>
      <x:c r="H66" s="11"/>
      <x:c r="I66" s="11"/>
      <x:c r="J66" s="11"/>
      <x:c r="K66" s="11"/>
      <x:c r="L66" s="11"/>
      <x:c r="M66" s="11"/>
      <x:c r="N66" s="11"/>
      <x:c r="O66" s="2"/>
      <x:c r="P66" s="2"/>
      <x:c r="Q66" s="2"/>
    </x:row>
    <x:row r="67">
      <x:c r="A67" s="65"/>
      <x:c r="B67" s="11"/>
      <x:c r="C67" s="11"/>
      <x:c r="D67" s="11"/>
      <x:c r="E67" s="11"/>
      <x:c r="F67" s="11"/>
      <x:c r="G67" s="66"/>
      <x:c r="H67" s="11"/>
      <x:c r="I67" s="11"/>
      <x:c r="J67" s="11"/>
      <x:c r="K67" s="11"/>
      <x:c r="L67" s="11"/>
      <x:c r="M67" s="11"/>
      <x:c r="N67" s="11"/>
      <x:c r="O67" s="2"/>
      <x:c r="P67" s="2"/>
      <x:c r="Q67" s="2"/>
    </x:row>
    <x:row r="68">
      <x:c r="A68" s="65"/>
      <x:c r="B68" s="11"/>
      <x:c r="C68" s="11"/>
      <x:c r="D68" s="11"/>
      <x:c r="E68" s="11"/>
      <x:c r="F68" s="11"/>
      <x:c r="G68" s="66"/>
      <x:c r="H68" s="11"/>
      <x:c r="I68" s="11"/>
      <x:c r="J68" s="11"/>
      <x:c r="K68" s="11"/>
      <x:c r="L68" s="11"/>
      <x:c r="M68" s="11"/>
      <x:c r="N68" s="11"/>
      <x:c r="O68" s="2"/>
      <x:c r="P68" s="2"/>
      <x:c r="Q68" s="2"/>
    </x:row>
    <x:row r="69">
      <x:c r="A69" s="65"/>
      <x:c r="B69" s="11"/>
      <x:c r="C69" s="11"/>
      <x:c r="D69" s="11"/>
      <x:c r="E69" s="11"/>
      <x:c r="F69" s="11"/>
      <x:c r="G69" s="66"/>
      <x:c r="H69" s="11"/>
      <x:c r="I69" s="11"/>
      <x:c r="J69" s="11"/>
      <x:c r="K69" s="11"/>
      <x:c r="L69" s="11"/>
      <x:c r="M69" s="11"/>
      <x:c r="N69" s="11"/>
      <x:c r="O69" s="2"/>
      <x:c r="P69" s="2"/>
      <x:c r="Q69" s="2"/>
    </x:row>
    <x:row r="70">
      <x:c r="A70" s="65"/>
      <x:c r="B70" s="11"/>
      <x:c r="C70" s="11"/>
      <x:c r="D70" s="11"/>
      <x:c r="E70" s="11"/>
      <x:c r="F70" s="11"/>
      <x:c r="G70" s="66"/>
      <x:c r="H70" s="11"/>
      <x:c r="I70" s="11"/>
      <x:c r="J70" s="11"/>
      <x:c r="K70" s="11"/>
      <x:c r="L70" s="11"/>
      <x:c r="M70" s="11"/>
      <x:c r="N70" s="11"/>
      <x:c r="O70" s="2"/>
      <x:c r="P70" s="2"/>
      <x:c r="Q70" s="2"/>
    </x:row>
    <x:row r="71">
      <x:c r="A71" s="65"/>
      <x:c r="B71" s="11"/>
      <x:c r="C71" s="11"/>
      <x:c r="D71" s="11"/>
      <x:c r="E71" s="11"/>
      <x:c r="F71" s="11"/>
      <x:c r="G71" s="66"/>
      <x:c r="H71" s="11"/>
      <x:c r="I71" s="11"/>
      <x:c r="J71" s="11"/>
      <x:c r="K71" s="11"/>
      <x:c r="L71" s="11"/>
      <x:c r="M71" s="11"/>
      <x:c r="N71" s="11"/>
      <x:c r="O71" s="2"/>
      <x:c r="P71" s="2"/>
      <x:c r="Q71" s="2"/>
    </x:row>
    <x:row r="72">
      <x:c r="A72" s="65"/>
      <x:c r="B72" s="11"/>
      <x:c r="C72" s="11"/>
      <x:c r="D72" s="11"/>
      <x:c r="E72" s="11"/>
      <x:c r="F72" s="11"/>
      <x:c r="G72" s="66"/>
      <x:c r="H72" s="11"/>
      <x:c r="I72" s="11"/>
      <x:c r="J72" s="11"/>
      <x:c r="K72" s="11"/>
      <x:c r="L72" s="11"/>
      <x:c r="M72" s="11"/>
      <x:c r="N72" s="11"/>
      <x:c r="O72" s="2"/>
      <x:c r="P72" s="2"/>
      <x:c r="Q72" s="2"/>
    </x:row>
    <x:row r="73">
      <x:c r="A73" s="65"/>
      <x:c r="B73" s="11"/>
      <x:c r="C73" s="11"/>
      <x:c r="D73" s="11"/>
      <x:c r="E73" s="11"/>
      <x:c r="F73" s="11"/>
      <x:c r="G73" s="66"/>
      <x:c r="H73" s="11"/>
      <x:c r="I73" s="11"/>
      <x:c r="J73" s="11"/>
      <x:c r="K73" s="11"/>
      <x:c r="L73" s="11"/>
      <x:c r="M73" s="11"/>
      <x:c r="N73" s="11"/>
      <x:c r="O73" s="2"/>
      <x:c r="P73" s="2"/>
      <x:c r="Q73" s="2"/>
    </x:row>
    <x:row r="74">
      <x:c r="A74" s="65"/>
      <x:c r="B74" s="11"/>
      <x:c r="C74" s="11"/>
      <x:c r="D74" s="11"/>
      <x:c r="E74" s="11"/>
      <x:c r="F74" s="11"/>
      <x:c r="G74" s="66"/>
      <x:c r="H74" s="11"/>
      <x:c r="I74" s="11"/>
      <x:c r="J74" s="11"/>
      <x:c r="K74" s="11"/>
      <x:c r="L74" s="11"/>
      <x:c r="M74" s="11"/>
      <x:c r="N74" s="11"/>
      <x:c r="O74" s="2"/>
      <x:c r="P74" s="2"/>
      <x:c r="Q74" s="2"/>
    </x:row>
    <x:row r="75">
      <x:c r="A75" s="65"/>
      <x:c r="B75" s="11"/>
      <x:c r="C75" s="11"/>
      <x:c r="D75" s="11"/>
      <x:c r="E75" s="11"/>
      <x:c r="F75" s="11"/>
      <x:c r="G75" s="66"/>
      <x:c r="H75" s="11"/>
      <x:c r="I75" s="11"/>
      <x:c r="J75" s="11"/>
      <x:c r="K75" s="11"/>
      <x:c r="L75" s="11"/>
      <x:c r="M75" s="11"/>
      <x:c r="N75" s="11"/>
      <x:c r="O75" s="2"/>
      <x:c r="P75" s="2"/>
      <x:c r="Q75" s="2"/>
    </x:row>
    <x:row r="76">
      <x:c r="A76" s="65"/>
      <x:c r="B76" s="11"/>
      <x:c r="C76" s="11"/>
      <x:c r="D76" s="11"/>
      <x:c r="E76" s="11"/>
      <x:c r="F76" s="11"/>
      <x:c r="G76" s="66"/>
      <x:c r="H76" s="11"/>
      <x:c r="I76" s="11"/>
      <x:c r="J76" s="11"/>
      <x:c r="K76" s="11"/>
      <x:c r="L76" s="11"/>
      <x:c r="M76" s="11"/>
      <x:c r="N76" s="11"/>
      <x:c r="O76" s="2"/>
      <x:c r="P76" s="2"/>
      <x:c r="Q76" s="2"/>
    </x:row>
    <x:row r="77">
      <x:c r="A77" s="65"/>
      <x:c r="B77" s="11"/>
      <x:c r="C77" s="11"/>
      <x:c r="D77" s="11"/>
      <x:c r="E77" s="11"/>
      <x:c r="F77" s="11"/>
      <x:c r="G77" s="66"/>
      <x:c r="H77" s="11"/>
      <x:c r="I77" s="11"/>
      <x:c r="J77" s="11"/>
      <x:c r="K77" s="11"/>
      <x:c r="L77" s="11"/>
      <x:c r="M77" s="11"/>
      <x:c r="N77" s="11"/>
      <x:c r="O77" s="2"/>
      <x:c r="P77" s="2"/>
      <x:c r="Q77" s="2"/>
    </x:row>
    <x:row r="78">
      <x:c r="A78" s="65"/>
      <x:c r="B78" s="11"/>
      <x:c r="C78" s="11"/>
      <x:c r="D78" s="11"/>
      <x:c r="E78" s="11"/>
      <x:c r="F78" s="11"/>
      <x:c r="G78" s="66"/>
      <x:c r="H78" s="11"/>
      <x:c r="I78" s="11"/>
      <x:c r="J78" s="11"/>
      <x:c r="K78" s="11"/>
      <x:c r="L78" s="11"/>
      <x:c r="M78" s="11"/>
      <x:c r="N78" s="11"/>
      <x:c r="O78" s="2"/>
      <x:c r="P78" s="2"/>
      <x:c r="Q78" s="2"/>
    </x:row>
    <x:row r="79">
      <x:c r="A79" s="65"/>
      <x:c r="B79" s="11"/>
      <x:c r="C79" s="11"/>
      <x:c r="D79" s="11"/>
      <x:c r="E79" s="11"/>
      <x:c r="F79" s="11"/>
      <x:c r="G79" s="66"/>
      <x:c r="H79" s="11"/>
      <x:c r="I79" s="11"/>
      <x:c r="J79" s="11"/>
      <x:c r="K79" s="11"/>
      <x:c r="L79" s="11"/>
      <x:c r="M79" s="11"/>
      <x:c r="N79" s="11"/>
      <x:c r="O79" s="2"/>
      <x:c r="P79" s="2"/>
      <x:c r="Q79" s="2"/>
    </x:row>
    <x:row r="80">
      <x:c r="A80" s="65"/>
      <x:c r="B80" s="11"/>
      <x:c r="C80" s="11"/>
      <x:c r="D80" s="11"/>
      <x:c r="E80" s="11"/>
      <x:c r="F80" s="11"/>
      <x:c r="G80" s="66"/>
      <x:c r="H80" s="11"/>
      <x:c r="I80" s="11"/>
      <x:c r="J80" s="11"/>
      <x:c r="K80" s="11"/>
      <x:c r="L80" s="11"/>
      <x:c r="M80" s="11"/>
      <x:c r="N80" s="11"/>
      <x:c r="O80" s="2"/>
      <x:c r="P80" s="2"/>
      <x:c r="Q80" s="2"/>
    </x:row>
    <x:row r="81">
      <x:c r="A81" s="65"/>
      <x:c r="B81" s="11"/>
      <x:c r="C81" s="11"/>
      <x:c r="D81" s="11"/>
      <x:c r="E81" s="11"/>
      <x:c r="F81" s="11"/>
      <x:c r="G81" s="66"/>
      <x:c r="H81" s="11"/>
      <x:c r="I81" s="11"/>
      <x:c r="J81" s="11"/>
      <x:c r="K81" s="11"/>
      <x:c r="L81" s="11"/>
      <x:c r="M81" s="11"/>
      <x:c r="N81" s="11"/>
      <x:c r="O81" s="2"/>
      <x:c r="P81" s="2"/>
      <x:c r="Q81" s="2"/>
    </x:row>
    <x:row r="82">
      <x:c r="A82" s="65"/>
      <x:c r="B82" s="11"/>
      <x:c r="C82" s="11"/>
      <x:c r="D82" s="11"/>
      <x:c r="E82" s="11"/>
      <x:c r="F82" s="11"/>
      <x:c r="G82" s="66"/>
      <x:c r="H82" s="11"/>
      <x:c r="I82" s="11"/>
      <x:c r="J82" s="11"/>
      <x:c r="K82" s="11"/>
      <x:c r="L82" s="11"/>
      <x:c r="M82" s="11"/>
      <x:c r="N82" s="11"/>
      <x:c r="O82" s="2"/>
      <x:c r="P82" s="2"/>
      <x:c r="Q82" s="2"/>
    </x:row>
    <x:row r="83">
      <x:c r="A83" s="65"/>
      <x:c r="B83" s="11"/>
      <x:c r="C83" s="11"/>
      <x:c r="D83" s="11"/>
      <x:c r="E83" s="11"/>
      <x:c r="F83" s="11"/>
      <x:c r="G83" s="66"/>
      <x:c r="H83" s="11"/>
      <x:c r="I83" s="11"/>
      <x:c r="J83" s="11"/>
      <x:c r="K83" s="11"/>
      <x:c r="L83" s="11"/>
      <x:c r="M83" s="11"/>
      <x:c r="N83" s="11"/>
      <x:c r="O83" s="2"/>
      <x:c r="P83" s="2"/>
      <x:c r="Q83" s="2"/>
    </x:row>
    <x:row r="84">
      <x:c r="A84" s="65"/>
      <x:c r="B84" s="11"/>
      <x:c r="C84" s="11"/>
      <x:c r="D84" s="11"/>
      <x:c r="E84" s="11"/>
      <x:c r="F84" s="11"/>
      <x:c r="G84" s="66"/>
      <x:c r="H84" s="11"/>
      <x:c r="I84" s="11"/>
      <x:c r="J84" s="11"/>
      <x:c r="K84" s="11"/>
      <x:c r="L84" s="11"/>
      <x:c r="M84" s="11"/>
      <x:c r="N84" s="11"/>
      <x:c r="O84" s="2"/>
      <x:c r="P84" s="2"/>
      <x:c r="Q84" s="2"/>
    </x:row>
    <x:row r="85">
      <x:c r="A85" s="65"/>
      <x:c r="B85" s="11"/>
      <x:c r="C85" s="11"/>
      <x:c r="D85" s="11"/>
      <x:c r="E85" s="11"/>
      <x:c r="F85" s="11"/>
      <x:c r="G85" s="66"/>
      <x:c r="H85" s="11"/>
      <x:c r="I85" s="11"/>
      <x:c r="J85" s="11"/>
      <x:c r="K85" s="11"/>
      <x:c r="L85" s="11"/>
      <x:c r="M85" s="11"/>
      <x:c r="N85" s="11"/>
      <x:c r="O85" s="2"/>
      <x:c r="P85" s="2"/>
      <x:c r="Q85" s="2"/>
    </x:row>
    <x:row r="86">
      <x:c r="A86" s="65"/>
      <x:c r="B86" s="11"/>
      <x:c r="C86" s="11"/>
      <x:c r="D86" s="11"/>
      <x:c r="E86" s="11"/>
      <x:c r="F86" s="11"/>
      <x:c r="G86" s="66"/>
      <x:c r="H86" s="11"/>
      <x:c r="I86" s="11"/>
      <x:c r="J86" s="11"/>
      <x:c r="K86" s="11"/>
      <x:c r="L86" s="11"/>
      <x:c r="M86" s="11"/>
      <x:c r="N86" s="11"/>
      <x:c r="O86" s="2"/>
      <x:c r="P86" s="2"/>
      <x:c r="Q86" s="2"/>
    </x:row>
    <x:row r="87">
      <x:c r="A87" s="65"/>
      <x:c r="B87" s="11"/>
      <x:c r="C87" s="11"/>
      <x:c r="D87" s="11"/>
      <x:c r="E87" s="11"/>
      <x:c r="F87" s="11"/>
      <x:c r="G87" s="66"/>
      <x:c r="H87" s="11"/>
      <x:c r="I87" s="11"/>
      <x:c r="J87" s="11"/>
      <x:c r="K87" s="11"/>
      <x:c r="L87" s="11"/>
      <x:c r="M87" s="11"/>
      <x:c r="N87" s="11"/>
      <x:c r="O87" s="2"/>
      <x:c r="P87" s="2"/>
      <x:c r="Q87" s="2"/>
    </x:row>
    <x:row r="88">
      <x:c r="A88" s="65"/>
      <x:c r="B88" s="11"/>
      <x:c r="C88" s="11"/>
      <x:c r="D88" s="11"/>
      <x:c r="E88" s="11"/>
      <x:c r="F88" s="11"/>
      <x:c r="G88" s="66"/>
      <x:c r="H88" s="11"/>
      <x:c r="I88" s="11"/>
      <x:c r="J88" s="11"/>
      <x:c r="K88" s="11"/>
      <x:c r="L88" s="11"/>
      <x:c r="M88" s="11"/>
      <x:c r="N88" s="11"/>
      <x:c r="O88" s="2"/>
      <x:c r="P88" s="2"/>
      <x:c r="Q88" s="2"/>
    </x:row>
    <x:row r="89">
      <x:c r="A89" s="65"/>
      <x:c r="B89" s="11"/>
      <x:c r="C89" s="11"/>
      <x:c r="D89" s="11"/>
      <x:c r="E89" s="11"/>
      <x:c r="F89" s="11"/>
      <x:c r="G89" s="66"/>
      <x:c r="H89" s="11"/>
      <x:c r="I89" s="11"/>
      <x:c r="J89" s="11"/>
      <x:c r="K89" s="11"/>
      <x:c r="L89" s="11"/>
      <x:c r="M89" s="11"/>
      <x:c r="N89" s="11"/>
      <x:c r="O89" s="2"/>
      <x:c r="P89" s="2"/>
      <x:c r="Q89" s="2"/>
    </x:row>
    <x:row r="90">
      <x:c r="A90" s="65"/>
      <x:c r="B90" s="11"/>
      <x:c r="C90" s="11"/>
      <x:c r="D90" s="11"/>
      <x:c r="E90" s="11"/>
      <x:c r="F90" s="11"/>
      <x:c r="G90" s="66"/>
      <x:c r="H90" s="11"/>
      <x:c r="I90" s="11"/>
      <x:c r="J90" s="11"/>
      <x:c r="K90" s="11"/>
      <x:c r="L90" s="11"/>
      <x:c r="M90" s="11"/>
      <x:c r="N90" s="11"/>
      <x:c r="O90" s="2"/>
      <x:c r="P90" s="2"/>
      <x:c r="Q90" s="2"/>
    </x:row>
    <x:row r="91">
      <x:c r="A91" s="65"/>
      <x:c r="B91" s="11"/>
      <x:c r="C91" s="11"/>
      <x:c r="D91" s="11"/>
      <x:c r="E91" s="11"/>
      <x:c r="F91" s="11"/>
      <x:c r="G91" s="66"/>
      <x:c r="H91" s="11"/>
      <x:c r="I91" s="11"/>
      <x:c r="J91" s="11"/>
      <x:c r="K91" s="11"/>
      <x:c r="L91" s="11"/>
      <x:c r="M91" s="11"/>
      <x:c r="N91" s="11"/>
      <x:c r="O91" s="2"/>
      <x:c r="P91" s="2"/>
      <x:c r="Q91" s="2"/>
    </x:row>
    <x:row r="92">
      <x:c r="A92" s="65"/>
      <x:c r="B92" s="11"/>
      <x:c r="C92" s="11"/>
      <x:c r="D92" s="11"/>
      <x:c r="E92" s="11"/>
      <x:c r="F92" s="11"/>
      <x:c r="G92" s="66"/>
      <x:c r="H92" s="11"/>
      <x:c r="I92" s="11"/>
      <x:c r="J92" s="11"/>
      <x:c r="K92" s="11"/>
      <x:c r="L92" s="11"/>
      <x:c r="M92" s="11"/>
      <x:c r="N92" s="11"/>
      <x:c r="O92" s="2"/>
      <x:c r="P92" s="2"/>
      <x:c r="Q92" s="2"/>
    </x:row>
    <x:row r="93">
      <x:c r="A93" s="65"/>
      <x:c r="B93" s="11"/>
      <x:c r="C93" s="11"/>
      <x:c r="D93" s="11"/>
      <x:c r="E93" s="11"/>
      <x:c r="F93" s="11"/>
      <x:c r="G93" s="66"/>
      <x:c r="H93" s="11"/>
      <x:c r="I93" s="11"/>
      <x:c r="J93" s="11"/>
      <x:c r="K93" s="11"/>
      <x:c r="L93" s="11"/>
      <x:c r="M93" s="11"/>
      <x:c r="N93" s="11"/>
      <x:c r="O93" s="2"/>
      <x:c r="P93" s="2"/>
      <x:c r="Q93" s="2"/>
    </x:row>
    <x:row r="94">
      <x:c r="A94" s="65"/>
      <x:c r="B94" s="11"/>
      <x:c r="C94" s="11"/>
      <x:c r="D94" s="11"/>
      <x:c r="E94" s="11"/>
      <x:c r="F94" s="11"/>
      <x:c r="G94" s="66"/>
      <x:c r="H94" s="11"/>
      <x:c r="I94" s="11"/>
      <x:c r="J94" s="11"/>
      <x:c r="K94" s="11"/>
      <x:c r="L94" s="11"/>
      <x:c r="M94" s="11"/>
      <x:c r="N94" s="11"/>
      <x:c r="O94" s="2"/>
      <x:c r="P94" s="2"/>
      <x:c r="Q94" s="2"/>
    </x:row>
    <x:row r="95">
      <x:c r="A95" s="65"/>
      <x:c r="B95" s="11"/>
      <x:c r="C95" s="11"/>
      <x:c r="D95" s="11"/>
      <x:c r="E95" s="11"/>
      <x:c r="F95" s="11"/>
      <x:c r="G95" s="66"/>
      <x:c r="H95" s="11"/>
      <x:c r="I95" s="11"/>
      <x:c r="J95" s="11"/>
      <x:c r="K95" s="11"/>
      <x:c r="L95" s="11"/>
      <x:c r="M95" s="11"/>
      <x:c r="N95" s="11"/>
      <x:c r="O95" s="2"/>
      <x:c r="P95" s="2"/>
      <x:c r="Q95" s="2"/>
    </x:row>
    <x:row r="96">
      <x:c r="A96" s="65"/>
      <x:c r="B96" s="11"/>
      <x:c r="C96" s="11"/>
      <x:c r="D96" s="11"/>
      <x:c r="E96" s="11"/>
      <x:c r="F96" s="11"/>
      <x:c r="G96" s="66"/>
      <x:c r="H96" s="11"/>
      <x:c r="I96" s="11"/>
      <x:c r="J96" s="11"/>
      <x:c r="K96" s="11"/>
      <x:c r="L96" s="11"/>
      <x:c r="M96" s="11"/>
      <x:c r="N96" s="11"/>
      <x:c r="O96" s="2"/>
      <x:c r="P96" s="2"/>
      <x:c r="Q96" s="2"/>
    </x:row>
    <x:row r="97">
      <x:c r="A97" s="65"/>
      <x:c r="B97" s="11"/>
      <x:c r="C97" s="11"/>
      <x:c r="D97" s="11"/>
      <x:c r="E97" s="11"/>
      <x:c r="F97" s="11"/>
      <x:c r="G97" s="66"/>
      <x:c r="H97" s="11"/>
      <x:c r="I97" s="11"/>
      <x:c r="J97" s="11"/>
      <x:c r="K97" s="11"/>
      <x:c r="L97" s="11"/>
      <x:c r="M97" s="11"/>
      <x:c r="N97" s="11"/>
      <x:c r="O97" s="2"/>
      <x:c r="P97" s="2"/>
      <x:c r="Q97" s="2"/>
    </x:row>
    <x:row r="98">
      <x:c r="A98" s="65"/>
      <x:c r="B98" s="11"/>
      <x:c r="C98" s="11"/>
      <x:c r="D98" s="11"/>
      <x:c r="E98" s="11"/>
      <x:c r="F98" s="11"/>
      <x:c r="G98" s="66"/>
      <x:c r="H98" s="11"/>
      <x:c r="I98" s="11"/>
      <x:c r="J98" s="11"/>
      <x:c r="K98" s="11"/>
      <x:c r="L98" s="11"/>
      <x:c r="M98" s="11"/>
      <x:c r="N98" s="11"/>
      <x:c r="O98" s="2"/>
      <x:c r="P98" s="2"/>
      <x:c r="Q98" s="2"/>
    </x:row>
    <x:row r="99">
      <x:c r="A99" s="65"/>
      <x:c r="B99" s="11"/>
      <x:c r="C99" s="11"/>
      <x:c r="D99" s="11"/>
      <x:c r="E99" s="11"/>
      <x:c r="F99" s="11"/>
      <x:c r="G99" s="66"/>
      <x:c r="H99" s="11"/>
      <x:c r="I99" s="11"/>
      <x:c r="J99" s="11"/>
      <x:c r="K99" s="11"/>
      <x:c r="L99" s="11"/>
      <x:c r="M99" s="11"/>
      <x:c r="N99" s="11"/>
      <x:c r="O99" s="2"/>
      <x:c r="P99" s="2"/>
      <x:c r="Q99" s="2"/>
    </x:row>
    <x:row r="100">
      <x:c r="A100" s="65"/>
      <x:c r="B100" s="11"/>
      <x:c r="C100" s="11"/>
      <x:c r="D100" s="11"/>
      <x:c r="E100" s="11"/>
      <x:c r="F100" s="11"/>
      <x:c r="G100" s="66"/>
      <x:c r="H100" s="11"/>
      <x:c r="I100" s="11"/>
      <x:c r="J100" s="11"/>
      <x:c r="K100" s="11"/>
      <x:c r="L100" s="11"/>
      <x:c r="M100" s="11"/>
      <x:c r="N100" s="11"/>
      <x:c r="O100" s="2"/>
      <x:c r="P100" s="2"/>
      <x:c r="Q100" s="2"/>
    </x:row>
    <x:row r="101">
      <x:c r="A101" s="65"/>
      <x:c r="B101" s="11"/>
      <x:c r="C101" s="11"/>
      <x:c r="D101" s="11"/>
      <x:c r="E101" s="11"/>
      <x:c r="F101" s="11"/>
      <x:c r="G101" s="66"/>
      <x:c r="H101" s="11"/>
      <x:c r="I101" s="11"/>
      <x:c r="J101" s="11"/>
      <x:c r="K101" s="11"/>
      <x:c r="L101" s="11"/>
      <x:c r="M101" s="11"/>
      <x:c r="N101" s="11"/>
      <x:c r="O101" s="2"/>
      <x:c r="P101" s="2"/>
      <x:c r="Q101" s="2"/>
    </x:row>
    <x:row r="102">
      <x:c r="A102" s="65"/>
      <x:c r="B102" s="11"/>
      <x:c r="C102" s="11"/>
      <x:c r="D102" s="11"/>
      <x:c r="E102" s="11"/>
      <x:c r="F102" s="11"/>
      <x:c r="G102" s="66"/>
      <x:c r="H102" s="11"/>
      <x:c r="I102" s="11"/>
      <x:c r="J102" s="11"/>
      <x:c r="K102" s="11"/>
      <x:c r="L102" s="11"/>
      <x:c r="M102" s="11"/>
      <x:c r="N102" s="11"/>
      <x:c r="O102" s="2"/>
      <x:c r="P102" s="2"/>
      <x:c r="Q102" s="2"/>
    </x:row>
    <x:row r="103">
      <x:c r="A103" s="65"/>
      <x:c r="B103" s="11"/>
      <x:c r="C103" s="11"/>
      <x:c r="D103" s="11"/>
      <x:c r="E103" s="11"/>
      <x:c r="F103" s="11"/>
      <x:c r="G103" s="66"/>
      <x:c r="H103" s="11"/>
      <x:c r="I103" s="11"/>
      <x:c r="J103" s="11"/>
      <x:c r="K103" s="11"/>
      <x:c r="L103" s="11"/>
      <x:c r="M103" s="11"/>
      <x:c r="N103" s="11"/>
      <x:c r="O103" s="2"/>
      <x:c r="P103" s="2"/>
      <x:c r="Q103" s="2"/>
    </x:row>
    <x:row r="104">
      <x:c r="A104" s="65"/>
      <x:c r="B104" s="11"/>
      <x:c r="C104" s="11"/>
      <x:c r="D104" s="11"/>
      <x:c r="E104" s="11"/>
      <x:c r="F104" s="11"/>
      <x:c r="G104" s="66"/>
      <x:c r="H104" s="11"/>
      <x:c r="I104" s="11"/>
      <x:c r="J104" s="11"/>
      <x:c r="K104" s="11"/>
      <x:c r="L104" s="11"/>
      <x:c r="M104" s="11"/>
      <x:c r="N104" s="11"/>
      <x:c r="O104" s="2"/>
      <x:c r="P104" s="2"/>
      <x:c r="Q104" s="2"/>
    </x:row>
    <x:row r="105">
      <x:c r="A105" s="65"/>
      <x:c r="B105" s="11"/>
      <x:c r="C105" s="11"/>
      <x:c r="D105" s="11"/>
      <x:c r="E105" s="11"/>
      <x:c r="F105" s="11"/>
      <x:c r="G105" s="66"/>
      <x:c r="H105" s="11"/>
      <x:c r="I105" s="11"/>
      <x:c r="J105" s="11"/>
      <x:c r="K105" s="11"/>
      <x:c r="L105" s="11"/>
      <x:c r="M105" s="11"/>
      <x:c r="N105" s="11"/>
      <x:c r="O105" s="2"/>
      <x:c r="P105" s="2"/>
      <x:c r="Q105" s="2"/>
    </x:row>
    <x:row r="106">
      <x:c r="A106" s="65"/>
      <x:c r="B106" s="11"/>
      <x:c r="C106" s="11"/>
      <x:c r="D106" s="11"/>
      <x:c r="E106" s="11"/>
      <x:c r="F106" s="11"/>
      <x:c r="G106" s="66"/>
      <x:c r="H106" s="11"/>
      <x:c r="I106" s="11"/>
      <x:c r="J106" s="11"/>
      <x:c r="K106" s="11"/>
      <x:c r="L106" s="11"/>
      <x:c r="M106" s="11"/>
      <x:c r="N106" s="11"/>
      <x:c r="O106" s="2"/>
      <x:c r="P106" s="2"/>
      <x:c r="Q106" s="2"/>
    </x:row>
    <x:row r="107">
      <x:c r="A107" s="65"/>
      <x:c r="B107" s="11"/>
      <x:c r="C107" s="11"/>
      <x:c r="D107" s="11"/>
      <x:c r="E107" s="11"/>
      <x:c r="F107" s="11"/>
      <x:c r="G107" s="66"/>
      <x:c r="H107" s="11"/>
      <x:c r="I107" s="11"/>
      <x:c r="J107" s="11"/>
      <x:c r="K107" s="11"/>
      <x:c r="L107" s="11"/>
      <x:c r="M107" s="11"/>
      <x:c r="N107" s="11"/>
      <x:c r="O107" s="2"/>
      <x:c r="P107" s="2"/>
      <x:c r="Q107" s="2"/>
    </x:row>
    <x:row r="108">
      <x:c r="A108" s="65"/>
      <x:c r="B108" s="11"/>
      <x:c r="C108" s="11"/>
      <x:c r="D108" s="11"/>
      <x:c r="E108" s="11"/>
      <x:c r="F108" s="11"/>
      <x:c r="G108" s="66"/>
      <x:c r="H108" s="11"/>
      <x:c r="I108" s="11"/>
      <x:c r="J108" s="11"/>
      <x:c r="K108" s="11"/>
      <x:c r="L108" s="11"/>
      <x:c r="M108" s="11"/>
      <x:c r="N108" s="11"/>
      <x:c r="O108" s="2"/>
      <x:c r="P108" s="2"/>
      <x:c r="Q108" s="2"/>
    </x:row>
    <x:row r="109">
      <x:c r="A109" s="65"/>
      <x:c r="B109" s="11"/>
      <x:c r="C109" s="11"/>
      <x:c r="D109" s="11"/>
      <x:c r="E109" s="11"/>
      <x:c r="F109" s="11"/>
      <x:c r="G109" s="66"/>
      <x:c r="H109" s="11"/>
      <x:c r="I109" s="11"/>
      <x:c r="J109" s="11"/>
      <x:c r="K109" s="11"/>
      <x:c r="L109" s="11"/>
      <x:c r="M109" s="11"/>
      <x:c r="N109" s="11"/>
      <x:c r="O109" s="2"/>
      <x:c r="P109" s="2"/>
      <x:c r="Q109" s="2"/>
    </x:row>
    <x:row r="110">
      <x:c r="A110" s="65"/>
      <x:c r="B110" s="11"/>
      <x:c r="C110" s="11"/>
      <x:c r="D110" s="11"/>
      <x:c r="E110" s="11"/>
      <x:c r="F110" s="11"/>
      <x:c r="G110" s="66"/>
      <x:c r="H110" s="11"/>
      <x:c r="I110" s="11"/>
      <x:c r="J110" s="11"/>
      <x:c r="K110" s="11"/>
      <x:c r="L110" s="11"/>
      <x:c r="M110" s="11"/>
      <x:c r="N110" s="11"/>
      <x:c r="O110" s="2"/>
      <x:c r="P110" s="2"/>
      <x:c r="Q110" s="2"/>
    </x:row>
    <x:row r="111">
      <x:c r="A111" s="65"/>
      <x:c r="B111" s="11"/>
      <x:c r="C111" s="11"/>
      <x:c r="D111" s="11"/>
      <x:c r="E111" s="11"/>
      <x:c r="F111" s="11"/>
      <x:c r="G111" s="66"/>
      <x:c r="H111" s="11"/>
      <x:c r="I111" s="11"/>
      <x:c r="J111" s="11"/>
      <x:c r="K111" s="11"/>
      <x:c r="L111" s="11"/>
      <x:c r="M111" s="11"/>
      <x:c r="N111" s="11"/>
      <x:c r="O111" s="2"/>
      <x:c r="P111" s="2"/>
      <x:c r="Q111" s="2"/>
    </x:row>
    <x:row r="112">
      <x:c r="A112" s="65"/>
      <x:c r="B112" s="11"/>
      <x:c r="C112" s="11"/>
      <x:c r="D112" s="11"/>
      <x:c r="E112" s="11"/>
      <x:c r="F112" s="11"/>
      <x:c r="G112" s="66"/>
      <x:c r="H112" s="11"/>
      <x:c r="I112" s="11"/>
      <x:c r="J112" s="11"/>
      <x:c r="K112" s="11"/>
      <x:c r="L112" s="11"/>
      <x:c r="M112" s="11"/>
      <x:c r="N112" s="11"/>
      <x:c r="O112" s="2"/>
      <x:c r="P112" s="2"/>
      <x:c r="Q112" s="2"/>
    </x:row>
    <x:row r="113">
      <x:c r="A113" s="65"/>
      <x:c r="B113" s="11"/>
      <x:c r="C113" s="11"/>
      <x:c r="D113" s="11"/>
      <x:c r="E113" s="11"/>
      <x:c r="F113" s="11"/>
      <x:c r="G113" s="66"/>
      <x:c r="H113" s="11"/>
      <x:c r="I113" s="11"/>
      <x:c r="J113" s="11"/>
      <x:c r="K113" s="11"/>
      <x:c r="L113" s="11"/>
      <x:c r="M113" s="11"/>
      <x:c r="N113" s="11"/>
      <x:c r="O113" s="2"/>
      <x:c r="P113" s="2"/>
      <x:c r="Q113" s="2"/>
    </x:row>
    <x:row r="114">
      <x:c r="A114" s="65"/>
      <x:c r="B114" s="11"/>
      <x:c r="C114" s="11"/>
      <x:c r="D114" s="11"/>
      <x:c r="E114" s="11"/>
      <x:c r="F114" s="11"/>
      <x:c r="G114" s="66"/>
      <x:c r="H114" s="11"/>
      <x:c r="I114" s="11"/>
      <x:c r="J114" s="11"/>
      <x:c r="K114" s="11"/>
      <x:c r="L114" s="11"/>
      <x:c r="M114" s="11"/>
      <x:c r="N114" s="11"/>
      <x:c r="O114" s="2"/>
      <x:c r="P114" s="2"/>
      <x:c r="Q114" s="2"/>
    </x:row>
    <x:row r="115">
      <x:c r="A115" s="65"/>
      <x:c r="B115" s="11"/>
      <x:c r="C115" s="11"/>
      <x:c r="D115" s="11"/>
      <x:c r="E115" s="11"/>
      <x:c r="F115" s="11"/>
      <x:c r="G115" s="66"/>
      <x:c r="H115" s="11"/>
      <x:c r="I115" s="11"/>
      <x:c r="J115" s="11"/>
      <x:c r="K115" s="11"/>
      <x:c r="L115" s="11"/>
      <x:c r="M115" s="11"/>
      <x:c r="N115" s="11"/>
      <x:c r="O115" s="2"/>
      <x:c r="P115" s="2"/>
      <x:c r="Q115" s="2"/>
    </x:row>
    <x:row r="116">
      <x:c r="A116" s="65"/>
      <x:c r="B116" s="11"/>
      <x:c r="C116" s="11"/>
      <x:c r="D116" s="11"/>
      <x:c r="E116" s="11"/>
      <x:c r="F116" s="11"/>
      <x:c r="G116" s="66"/>
      <x:c r="H116" s="11"/>
      <x:c r="I116" s="11"/>
      <x:c r="J116" s="11"/>
      <x:c r="K116" s="11"/>
      <x:c r="L116" s="11"/>
      <x:c r="M116" s="11"/>
      <x:c r="N116" s="11"/>
      <x:c r="O116" s="2"/>
      <x:c r="P116" s="2"/>
      <x:c r="Q116" s="2"/>
    </x:row>
    <x:row r="117">
      <x:c r="A117" s="65"/>
      <x:c r="B117" s="11"/>
      <x:c r="C117" s="11"/>
      <x:c r="D117" s="11"/>
      <x:c r="E117" s="11"/>
      <x:c r="F117" s="11"/>
      <x:c r="G117" s="66"/>
      <x:c r="H117" s="11"/>
      <x:c r="I117" s="11"/>
      <x:c r="J117" s="11"/>
      <x:c r="K117" s="11"/>
      <x:c r="L117" s="11"/>
      <x:c r="M117" s="11"/>
      <x:c r="N117" s="11"/>
      <x:c r="O117" s="2"/>
      <x:c r="P117" s="2"/>
      <x:c r="Q117" s="2"/>
    </x:row>
    <x:row r="118">
      <x:c r="A118" s="65"/>
      <x:c r="B118" s="11"/>
      <x:c r="C118" s="11"/>
      <x:c r="D118" s="11"/>
      <x:c r="E118" s="11"/>
      <x:c r="F118" s="11"/>
      <x:c r="G118" s="66"/>
      <x:c r="H118" s="11"/>
      <x:c r="I118" s="11"/>
      <x:c r="J118" s="11"/>
      <x:c r="K118" s="11"/>
      <x:c r="L118" s="11"/>
      <x:c r="M118" s="11"/>
      <x:c r="N118" s="11"/>
      <x:c r="O118" s="2"/>
      <x:c r="P118" s="2"/>
      <x:c r="Q118" s="2"/>
    </x:row>
    <x:row r="119">
      <x:c r="A119" s="65"/>
      <x:c r="B119" s="11"/>
      <x:c r="C119" s="11"/>
      <x:c r="D119" s="11"/>
      <x:c r="E119" s="11"/>
      <x:c r="F119" s="11"/>
      <x:c r="G119" s="66"/>
      <x:c r="H119" s="11"/>
      <x:c r="I119" s="11"/>
      <x:c r="J119" s="11"/>
      <x:c r="K119" s="11"/>
      <x:c r="L119" s="11"/>
      <x:c r="M119" s="11"/>
      <x:c r="N119" s="11"/>
      <x:c r="O119" s="2"/>
      <x:c r="P119" s="2"/>
      <x:c r="Q119" s="2"/>
    </x:row>
    <x:row r="120">
      <x:c r="A120" s="65"/>
      <x:c r="B120" s="11"/>
      <x:c r="C120" s="11"/>
      <x:c r="D120" s="11"/>
      <x:c r="E120" s="11"/>
      <x:c r="F120" s="11"/>
      <x:c r="G120" s="66"/>
      <x:c r="H120" s="11"/>
      <x:c r="I120" s="11"/>
      <x:c r="J120" s="11"/>
      <x:c r="K120" s="11"/>
      <x:c r="L120" s="11"/>
      <x:c r="M120" s="11"/>
      <x:c r="N120" s="11"/>
      <x:c r="O120" s="2"/>
      <x:c r="P120" s="2"/>
      <x:c r="Q120" s="2"/>
    </x:row>
    <x:row r="121">
      <x:c r="A121" s="65"/>
      <x:c r="B121" s="11"/>
      <x:c r="C121" s="11"/>
      <x:c r="D121" s="11"/>
      <x:c r="E121" s="11"/>
      <x:c r="F121" s="11"/>
      <x:c r="G121" s="66"/>
      <x:c r="H121" s="11"/>
      <x:c r="I121" s="11"/>
      <x:c r="J121" s="11"/>
      <x:c r="K121" s="11"/>
      <x:c r="L121" s="11"/>
      <x:c r="M121" s="11"/>
      <x:c r="N121" s="11"/>
      <x:c r="O121" s="2"/>
      <x:c r="P121" s="2"/>
      <x:c r="Q121" s="2"/>
    </x:row>
    <x:row r="122">
      <x:c r="A122" s="65"/>
      <x:c r="B122" s="11"/>
      <x:c r="C122" s="11"/>
      <x:c r="D122" s="11"/>
      <x:c r="E122" s="11"/>
      <x:c r="F122" s="11"/>
      <x:c r="G122" s="66"/>
      <x:c r="H122" s="11"/>
      <x:c r="I122" s="11"/>
      <x:c r="J122" s="11"/>
      <x:c r="K122" s="11"/>
      <x:c r="L122" s="11"/>
      <x:c r="M122" s="11"/>
      <x:c r="N122" s="11"/>
      <x:c r="O122" s="2"/>
      <x:c r="P122" s="2"/>
      <x:c r="Q122" s="2"/>
    </x:row>
    <x:row r="123">
      <x:c r="A123" s="65"/>
      <x:c r="B123" s="11"/>
      <x:c r="C123" s="11"/>
      <x:c r="D123" s="11"/>
      <x:c r="E123" s="11"/>
      <x:c r="F123" s="11"/>
      <x:c r="G123" s="66"/>
      <x:c r="H123" s="11"/>
      <x:c r="I123" s="11"/>
      <x:c r="J123" s="11"/>
      <x:c r="K123" s="11"/>
      <x:c r="L123" s="11"/>
      <x:c r="M123" s="11"/>
      <x:c r="N123" s="11"/>
      <x:c r="O123" s="2"/>
      <x:c r="P123" s="2"/>
      <x:c r="Q123" s="2"/>
    </x:row>
    <x:row r="124">
      <x:c r="A124" s="65"/>
      <x:c r="B124" s="11"/>
      <x:c r="C124" s="11"/>
      <x:c r="D124" s="11"/>
      <x:c r="E124" s="11"/>
      <x:c r="F124" s="11"/>
      <x:c r="G124" s="66"/>
      <x:c r="H124" s="11"/>
      <x:c r="I124" s="11"/>
      <x:c r="J124" s="11"/>
      <x:c r="K124" s="11"/>
      <x:c r="L124" s="11"/>
      <x:c r="M124" s="11"/>
      <x:c r="N124" s="11"/>
      <x:c r="O124" s="2"/>
      <x:c r="P124" s="2"/>
      <x:c r="Q124" s="2"/>
    </x:row>
    <x:row r="125">
      <x:c r="A125" s="65"/>
      <x:c r="B125" s="11"/>
      <x:c r="C125" s="11"/>
      <x:c r="D125" s="11"/>
      <x:c r="E125" s="11"/>
      <x:c r="F125" s="11"/>
      <x:c r="G125" s="66"/>
      <x:c r="H125" s="11"/>
      <x:c r="I125" s="11"/>
      <x:c r="J125" s="11"/>
      <x:c r="K125" s="11"/>
      <x:c r="L125" s="11"/>
      <x:c r="M125" s="11"/>
      <x:c r="N125" s="11"/>
      <x:c r="O125" s="2"/>
      <x:c r="P125" s="2"/>
      <x:c r="Q125" s="2"/>
    </x:row>
    <x:row r="126">
      <x:c r="A126" s="65"/>
      <x:c r="B126" s="11"/>
      <x:c r="C126" s="11"/>
      <x:c r="D126" s="11"/>
      <x:c r="E126" s="11"/>
      <x:c r="F126" s="11"/>
      <x:c r="G126" s="66"/>
      <x:c r="H126" s="11"/>
      <x:c r="I126" s="11"/>
      <x:c r="J126" s="11"/>
      <x:c r="K126" s="11"/>
      <x:c r="L126" s="11"/>
      <x:c r="M126" s="11"/>
      <x:c r="N126" s="11"/>
      <x:c r="O126" s="2"/>
      <x:c r="P126" s="2"/>
      <x:c r="Q126" s="2"/>
    </x:row>
    <x:row r="127">
      <x:c r="A127" s="65"/>
      <x:c r="B127" s="11"/>
      <x:c r="C127" s="11"/>
      <x:c r="D127" s="11"/>
      <x:c r="E127" s="11"/>
      <x:c r="F127" s="11"/>
      <x:c r="G127" s="66"/>
      <x:c r="H127" s="11"/>
      <x:c r="I127" s="11"/>
      <x:c r="J127" s="11"/>
      <x:c r="K127" s="11"/>
      <x:c r="L127" s="11"/>
      <x:c r="M127" s="11"/>
      <x:c r="N127" s="11"/>
      <x:c r="O127" s="2"/>
      <x:c r="P127" s="2"/>
      <x:c r="Q127" s="2"/>
    </x:row>
    <x:row r="128">
      <x:c r="A128" s="65"/>
      <x:c r="B128" s="11"/>
      <x:c r="C128" s="11"/>
      <x:c r="D128" s="11"/>
      <x:c r="E128" s="11"/>
      <x:c r="F128" s="11"/>
      <x:c r="G128" s="66"/>
      <x:c r="H128" s="11"/>
      <x:c r="I128" s="11"/>
      <x:c r="J128" s="11"/>
      <x:c r="K128" s="11"/>
      <x:c r="L128" s="11"/>
      <x:c r="M128" s="11"/>
      <x:c r="N128" s="11"/>
      <x:c r="O128" s="2"/>
      <x:c r="P128" s="2"/>
      <x:c r="Q128" s="2"/>
    </x:row>
    <x:row r="129">
      <x:c r="A129" s="65"/>
      <x:c r="B129" s="11"/>
      <x:c r="C129" s="11"/>
      <x:c r="D129" s="11"/>
      <x:c r="E129" s="11"/>
      <x:c r="F129" s="11"/>
      <x:c r="G129" s="66"/>
      <x:c r="H129" s="11"/>
      <x:c r="I129" s="11"/>
      <x:c r="J129" s="11"/>
      <x:c r="K129" s="11"/>
      <x:c r="L129" s="11"/>
      <x:c r="M129" s="11"/>
      <x:c r="N129" s="11"/>
      <x:c r="O129" s="2"/>
      <x:c r="P129" s="2"/>
      <x:c r="Q129" s="2"/>
    </x:row>
    <x:row r="130">
      <x:c r="A130" s="65"/>
      <x:c r="B130" s="11"/>
      <x:c r="C130" s="11"/>
      <x:c r="D130" s="11"/>
      <x:c r="E130" s="11"/>
      <x:c r="F130" s="11"/>
      <x:c r="G130" s="66"/>
      <x:c r="H130" s="11"/>
      <x:c r="I130" s="11"/>
      <x:c r="J130" s="11"/>
      <x:c r="K130" s="11"/>
      <x:c r="L130" s="11"/>
      <x:c r="M130" s="11"/>
      <x:c r="N130" s="11"/>
      <x:c r="O130" s="2"/>
      <x:c r="P130" s="2"/>
      <x:c r="Q130" s="2"/>
    </x:row>
    <x:row r="131">
      <x:c r="A131" s="65"/>
      <x:c r="B131" s="11"/>
      <x:c r="C131" s="11"/>
      <x:c r="D131" s="11"/>
      <x:c r="E131" s="11"/>
      <x:c r="F131" s="11"/>
      <x:c r="G131" s="66"/>
      <x:c r="H131" s="11"/>
      <x:c r="I131" s="11"/>
      <x:c r="J131" s="11"/>
      <x:c r="K131" s="11"/>
      <x:c r="L131" s="11"/>
      <x:c r="M131" s="11"/>
      <x:c r="N131" s="11"/>
      <x:c r="O131" s="2"/>
      <x:c r="P131" s="2"/>
      <x:c r="Q131" s="2"/>
    </x:row>
    <x:row r="132">
      <x:c r="A132" s="65"/>
      <x:c r="B132" s="11"/>
      <x:c r="C132" s="11"/>
      <x:c r="D132" s="11"/>
      <x:c r="E132" s="11"/>
      <x:c r="F132" s="11"/>
      <x:c r="G132" s="66"/>
      <x:c r="H132" s="11"/>
      <x:c r="I132" s="11"/>
      <x:c r="J132" s="11"/>
      <x:c r="K132" s="11"/>
      <x:c r="L132" s="11"/>
      <x:c r="M132" s="11"/>
      <x:c r="N132" s="11"/>
      <x:c r="O132" s="2"/>
      <x:c r="P132" s="2"/>
      <x:c r="Q132" s="2"/>
    </x:row>
    <x:row r="133">
      <x:c r="A133" s="65"/>
      <x:c r="B133" s="11"/>
      <x:c r="C133" s="11"/>
      <x:c r="D133" s="11"/>
      <x:c r="E133" s="11"/>
      <x:c r="F133" s="11"/>
      <x:c r="G133" s="66"/>
      <x:c r="H133" s="11"/>
      <x:c r="I133" s="11"/>
      <x:c r="J133" s="11"/>
      <x:c r="K133" s="11"/>
      <x:c r="L133" s="11"/>
      <x:c r="M133" s="11"/>
      <x:c r="N133" s="11"/>
      <x:c r="O133" s="2"/>
      <x:c r="P133" s="2"/>
      <x:c r="Q133" s="2"/>
    </x:row>
    <x:row r="134">
      <x:c r="A134" s="65"/>
      <x:c r="B134" s="11"/>
      <x:c r="C134" s="11"/>
      <x:c r="D134" s="11"/>
      <x:c r="E134" s="11"/>
      <x:c r="F134" s="11"/>
      <x:c r="G134" s="66"/>
      <x:c r="H134" s="11"/>
      <x:c r="I134" s="11"/>
      <x:c r="J134" s="11"/>
      <x:c r="K134" s="11"/>
      <x:c r="L134" s="11"/>
      <x:c r="M134" s="11"/>
      <x:c r="N134" s="11"/>
      <x:c r="O134" s="2"/>
      <x:c r="P134" s="2"/>
      <x:c r="Q134" s="2"/>
    </x:row>
    <x:row r="135">
      <x:c r="A135" s="65"/>
      <x:c r="B135" s="11"/>
      <x:c r="C135" s="11"/>
      <x:c r="D135" s="11"/>
      <x:c r="E135" s="11"/>
      <x:c r="F135" s="11"/>
      <x:c r="G135" s="66"/>
      <x:c r="H135" s="11"/>
      <x:c r="I135" s="11"/>
      <x:c r="J135" s="11"/>
      <x:c r="K135" s="11"/>
      <x:c r="L135" s="11"/>
      <x:c r="M135" s="11"/>
      <x:c r="N135" s="11"/>
      <x:c r="O135" s="2"/>
      <x:c r="P135" s="2"/>
      <x:c r="Q135" s="2"/>
    </x:row>
    <x:row r="136">
      <x:c r="A136" s="65"/>
      <x:c r="B136" s="11"/>
      <x:c r="C136" s="11"/>
      <x:c r="D136" s="11"/>
      <x:c r="E136" s="11"/>
      <x:c r="F136" s="11"/>
      <x:c r="G136" s="66"/>
      <x:c r="H136" s="11"/>
      <x:c r="I136" s="11"/>
      <x:c r="J136" s="11"/>
      <x:c r="K136" s="11"/>
      <x:c r="L136" s="11"/>
      <x:c r="M136" s="11"/>
      <x:c r="N136" s="11"/>
      <x:c r="O136" s="2"/>
      <x:c r="P136" s="2"/>
      <x:c r="Q136" s="2"/>
    </x:row>
    <x:row r="137">
      <x:c r="A137" s="65"/>
      <x:c r="B137" s="11"/>
      <x:c r="C137" s="11"/>
      <x:c r="D137" s="11"/>
      <x:c r="E137" s="11"/>
      <x:c r="F137" s="11"/>
      <x:c r="G137" s="66"/>
      <x:c r="H137" s="11"/>
      <x:c r="I137" s="11"/>
      <x:c r="J137" s="11"/>
      <x:c r="K137" s="11"/>
      <x:c r="L137" s="11"/>
      <x:c r="M137" s="11"/>
      <x:c r="N137" s="11"/>
      <x:c r="O137" s="2"/>
      <x:c r="P137" s="2"/>
      <x:c r="Q137" s="2"/>
    </x:row>
    <x:row r="138">
      <x:c r="A138" s="65"/>
      <x:c r="B138" s="11"/>
      <x:c r="C138" s="11"/>
      <x:c r="D138" s="11"/>
      <x:c r="E138" s="11"/>
      <x:c r="F138" s="11"/>
      <x:c r="G138" s="66"/>
      <x:c r="H138" s="11"/>
      <x:c r="I138" s="11"/>
      <x:c r="J138" s="11"/>
      <x:c r="K138" s="11"/>
      <x:c r="L138" s="11"/>
      <x:c r="M138" s="11"/>
      <x:c r="N138" s="11"/>
      <x:c r="O138" s="2"/>
      <x:c r="P138" s="2"/>
      <x:c r="Q138" s="2"/>
    </x:row>
    <x:row r="139">
      <x:c r="A139" s="65"/>
      <x:c r="B139" s="11"/>
      <x:c r="C139" s="11"/>
      <x:c r="D139" s="11"/>
      <x:c r="E139" s="11"/>
      <x:c r="F139" s="11"/>
      <x:c r="G139" s="66"/>
      <x:c r="H139" s="11"/>
      <x:c r="I139" s="11"/>
      <x:c r="J139" s="11"/>
      <x:c r="K139" s="11"/>
      <x:c r="L139" s="11"/>
      <x:c r="M139" s="11"/>
      <x:c r="N139" s="11"/>
      <x:c r="O139" s="2"/>
      <x:c r="P139" s="2"/>
      <x:c r="Q139" s="2"/>
    </x:row>
    <x:row r="140">
      <x:c r="A140" s="65"/>
      <x:c r="B140" s="11"/>
      <x:c r="C140" s="11"/>
      <x:c r="D140" s="11"/>
      <x:c r="E140" s="11"/>
      <x:c r="F140" s="11"/>
      <x:c r="G140" s="66"/>
      <x:c r="H140" s="11"/>
      <x:c r="I140" s="11"/>
      <x:c r="J140" s="11"/>
      <x:c r="K140" s="11"/>
      <x:c r="L140" s="11"/>
      <x:c r="M140" s="11"/>
      <x:c r="N140" s="11"/>
      <x:c r="O140" s="2"/>
      <x:c r="P140" s="2"/>
      <x:c r="Q140" s="2"/>
    </x:row>
    <x:row r="141">
      <x:c r="A141" s="65"/>
      <x:c r="B141" s="11"/>
      <x:c r="C141" s="11"/>
      <x:c r="D141" s="11"/>
      <x:c r="E141" s="11"/>
      <x:c r="F141" s="11"/>
      <x:c r="G141" s="66"/>
      <x:c r="H141" s="11"/>
      <x:c r="I141" s="11"/>
      <x:c r="J141" s="11"/>
      <x:c r="K141" s="11"/>
      <x:c r="L141" s="11"/>
      <x:c r="M141" s="11"/>
      <x:c r="N141" s="11"/>
      <x:c r="O141" s="2"/>
      <x:c r="P141" s="2"/>
      <x:c r="Q141" s="2"/>
    </x:row>
    <x:row r="142">
      <x:c r="A142" s="65"/>
      <x:c r="B142" s="11"/>
      <x:c r="C142" s="11"/>
      <x:c r="D142" s="11"/>
      <x:c r="E142" s="11"/>
      <x:c r="F142" s="11"/>
      <x:c r="G142" s="66"/>
      <x:c r="H142" s="11"/>
      <x:c r="I142" s="11"/>
      <x:c r="J142" s="11"/>
      <x:c r="K142" s="11"/>
      <x:c r="L142" s="11"/>
      <x:c r="M142" s="11"/>
      <x:c r="N142" s="11"/>
      <x:c r="O142" s="2"/>
      <x:c r="P142" s="2"/>
      <x:c r="Q142" s="2"/>
    </x:row>
    <x:row r="143">
      <x:c r="A143" s="65"/>
      <x:c r="B143" s="11"/>
      <x:c r="C143" s="11"/>
      <x:c r="D143" s="11"/>
      <x:c r="E143" s="11"/>
      <x:c r="F143" s="11"/>
      <x:c r="G143" s="66"/>
      <x:c r="H143" s="11"/>
      <x:c r="I143" s="11"/>
      <x:c r="J143" s="11"/>
      <x:c r="K143" s="11"/>
      <x:c r="L143" s="11"/>
      <x:c r="M143" s="11"/>
      <x:c r="N143" s="11"/>
      <x:c r="O143" s="2"/>
      <x:c r="P143" s="2"/>
      <x:c r="Q143" s="2"/>
    </x:row>
    <x:row r="144">
      <x:c r="A144" s="65"/>
      <x:c r="B144" s="11"/>
      <x:c r="C144" s="11"/>
      <x:c r="D144" s="11"/>
      <x:c r="E144" s="11"/>
      <x:c r="F144" s="11"/>
      <x:c r="G144" s="66"/>
      <x:c r="H144" s="11"/>
      <x:c r="I144" s="11"/>
      <x:c r="J144" s="11"/>
      <x:c r="K144" s="11"/>
      <x:c r="L144" s="11"/>
      <x:c r="M144" s="11"/>
      <x:c r="N144" s="11"/>
      <x:c r="O144" s="2"/>
      <x:c r="P144" s="2"/>
      <x:c r="Q144" s="2"/>
    </x:row>
    <x:row r="145">
      <x:c r="A145" s="65"/>
      <x:c r="B145" s="11"/>
      <x:c r="C145" s="11"/>
      <x:c r="D145" s="11"/>
      <x:c r="E145" s="11"/>
      <x:c r="F145" s="11"/>
      <x:c r="G145" s="66"/>
      <x:c r="H145" s="11"/>
      <x:c r="I145" s="11"/>
      <x:c r="J145" s="11"/>
      <x:c r="K145" s="11"/>
      <x:c r="L145" s="11"/>
      <x:c r="M145" s="11"/>
      <x:c r="N145" s="11"/>
      <x:c r="O145" s="2"/>
      <x:c r="P145" s="2"/>
      <x:c r="Q145" s="2"/>
    </x:row>
    <x:row r="146">
      <x:c r="A146" s="65"/>
      <x:c r="B146" s="11"/>
      <x:c r="C146" s="11"/>
      <x:c r="D146" s="11"/>
      <x:c r="E146" s="11"/>
      <x:c r="F146" s="11"/>
      <x:c r="G146" s="66"/>
      <x:c r="H146" s="11"/>
      <x:c r="I146" s="11"/>
      <x:c r="J146" s="11"/>
      <x:c r="K146" s="11"/>
      <x:c r="L146" s="11"/>
      <x:c r="M146" s="11"/>
      <x:c r="N146" s="11"/>
      <x:c r="O146" s="2"/>
      <x:c r="P146" s="2"/>
      <x:c r="Q146" s="2"/>
    </x:row>
    <x:row r="147">
      <x:c r="A147" s="65"/>
      <x:c r="B147" s="11"/>
      <x:c r="C147" s="11"/>
      <x:c r="D147" s="11"/>
      <x:c r="E147" s="11"/>
      <x:c r="F147" s="11"/>
      <x:c r="G147" s="66"/>
      <x:c r="H147" s="11"/>
      <x:c r="I147" s="11"/>
      <x:c r="J147" s="11"/>
      <x:c r="K147" s="11"/>
      <x:c r="L147" s="11"/>
      <x:c r="M147" s="11"/>
      <x:c r="N147" s="11"/>
      <x:c r="O147" s="2"/>
      <x:c r="P147" s="2"/>
      <x:c r="Q147" s="2"/>
    </x:row>
    <x:row r="148">
      <x:c r="A148" s="65"/>
      <x:c r="B148" s="11"/>
      <x:c r="C148" s="11"/>
      <x:c r="D148" s="11"/>
      <x:c r="E148" s="11"/>
      <x:c r="F148" s="11"/>
      <x:c r="G148" s="66"/>
      <x:c r="H148" s="11"/>
      <x:c r="I148" s="11"/>
      <x:c r="J148" s="11"/>
      <x:c r="K148" s="11"/>
      <x:c r="L148" s="11"/>
      <x:c r="M148" s="11"/>
      <x:c r="N148" s="11"/>
      <x:c r="O148" s="2"/>
      <x:c r="P148" s="2"/>
      <x:c r="Q148" s="2"/>
    </x:row>
    <x:row r="149">
      <x:c r="A149" s="65"/>
      <x:c r="B149" s="11"/>
      <x:c r="C149" s="11"/>
      <x:c r="D149" s="11"/>
      <x:c r="E149" s="11"/>
      <x:c r="F149" s="11"/>
      <x:c r="G149" s="66"/>
      <x:c r="H149" s="11"/>
      <x:c r="I149" s="11"/>
      <x:c r="J149" s="11"/>
      <x:c r="K149" s="11"/>
      <x:c r="L149" s="11"/>
      <x:c r="M149" s="11"/>
      <x:c r="N149" s="11"/>
      <x:c r="O149" s="2"/>
      <x:c r="P149" s="2"/>
      <x:c r="Q149" s="2"/>
    </x:row>
    <x:row r="150">
      <x:c r="A150" s="65"/>
      <x:c r="B150" s="11"/>
      <x:c r="C150" s="11"/>
      <x:c r="D150" s="11"/>
      <x:c r="E150" s="11"/>
      <x:c r="F150" s="11"/>
      <x:c r="G150" s="66"/>
      <x:c r="H150" s="11"/>
      <x:c r="I150" s="11"/>
      <x:c r="J150" s="11"/>
      <x:c r="K150" s="11"/>
      <x:c r="L150" s="11"/>
      <x:c r="M150" s="11"/>
      <x:c r="N150" s="11"/>
      <x:c r="O150" s="2"/>
      <x:c r="P150" s="2"/>
      <x:c r="Q150" s="2"/>
    </x:row>
    <x:row r="151">
      <x:c r="A151" s="65"/>
      <x:c r="B151" s="11"/>
      <x:c r="C151" s="11"/>
      <x:c r="D151" s="11"/>
      <x:c r="E151" s="11"/>
      <x:c r="F151" s="11"/>
      <x:c r="G151" s="66"/>
      <x:c r="H151" s="11"/>
      <x:c r="I151" s="11"/>
      <x:c r="J151" s="11"/>
      <x:c r="K151" s="11"/>
      <x:c r="L151" s="11"/>
      <x:c r="M151" s="11"/>
      <x:c r="N151" s="11"/>
      <x:c r="O151" s="2"/>
      <x:c r="P151" s="2"/>
      <x:c r="Q151" s="2"/>
    </x:row>
    <x:row r="152">
      <x:c r="A152" s="65"/>
      <x:c r="B152" s="11"/>
      <x:c r="C152" s="11"/>
      <x:c r="D152" s="11"/>
      <x:c r="E152" s="11"/>
      <x:c r="F152" s="11"/>
      <x:c r="G152" s="66"/>
      <x:c r="H152" s="11"/>
      <x:c r="I152" s="11"/>
      <x:c r="J152" s="11"/>
      <x:c r="K152" s="11"/>
      <x:c r="L152" s="11"/>
      <x:c r="M152" s="11"/>
      <x:c r="N152" s="11"/>
      <x:c r="O152" s="2"/>
      <x:c r="P152" s="2"/>
      <x:c r="Q152" s="2"/>
    </x:row>
    <x:row r="153">
      <x:c r="A153" s="65"/>
      <x:c r="B153" s="11"/>
      <x:c r="C153" s="11"/>
      <x:c r="D153" s="11"/>
      <x:c r="E153" s="11"/>
      <x:c r="F153" s="11"/>
      <x:c r="G153" s="66"/>
      <x:c r="H153" s="11"/>
      <x:c r="I153" s="11"/>
      <x:c r="J153" s="11"/>
      <x:c r="K153" s="11"/>
      <x:c r="L153" s="11"/>
      <x:c r="M153" s="11"/>
      <x:c r="N153" s="11"/>
      <x:c r="O153" s="2"/>
      <x:c r="P153" s="2"/>
      <x:c r="Q153" s="2"/>
    </x:row>
    <x:row r="154">
      <x:c r="A154" s="65"/>
      <x:c r="B154" s="11"/>
      <x:c r="C154" s="11"/>
      <x:c r="D154" s="11"/>
      <x:c r="E154" s="11"/>
      <x:c r="F154" s="11"/>
      <x:c r="G154" s="66"/>
      <x:c r="H154" s="11"/>
      <x:c r="I154" s="11"/>
      <x:c r="J154" s="11"/>
      <x:c r="K154" s="11"/>
      <x:c r="L154" s="11"/>
      <x:c r="M154" s="11"/>
      <x:c r="N154" s="11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</x:sheetData>
  <x:mergeCells>
    <x:mergeCell ref="A2:N2"/>
  </x:mergeCells>
  <x:dataValidations count="3">
    <x:dataValidation type="list" sqref="D5:D154">
      <x:formula1>"收,支"</x:formula1>
    </x:dataValidation>
    <x:dataValidation type="list" sqref="I5:I154">
      <x:formula1>"客户回款,供应商付款,股东出资,股东借款,偿还股东借款,费用报销,缴税,分红,银行费用,其他"</x:formula1>
    </x:dataValidation>
    <x:dataValidation type="list" sqref="L5:L15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f879bf7b194276"/>
  </x:tableParts>
</x:worksheet>
</file>

<file path=xl/worksheets/sheet4.xml><?xml version="1.0" encoding="utf-8"?>
<x:worksheet xmlns:x="http://schemas.openxmlformats.org/spreadsheetml/2006/main">
  <x:sheetPr>
    <x:tabColor rgb="FFA9D18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8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记账凭证（复式记账）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2"/>
      <x:c r="Q3" s="2"/>
    </x:row>
    <x:row r="4" ht="30" customHeight="1">
      <x:c r="A4" s="61" t="str">
        <x:v>凭证日期</x:v>
      </x:c>
      <x:c r="B4" s="62" t="str">
        <x:v>凭证号</x:v>
      </x:c>
      <x:c r="C4" s="62" t="str">
        <x:v>行号</x:v>
      </x:c>
      <x:c r="D4" s="62" t="str">
        <x:v>摘要</x:v>
      </x:c>
      <x:c r="E4" s="62" t="str">
        <x:v>科目编码</x:v>
      </x:c>
      <x:c r="F4" s="62" t="str">
        <x:v>科目名称</x:v>
      </x:c>
      <x:c r="G4" s="62" t="str">
        <x:v>借方</x:v>
      </x:c>
      <x:c r="H4" s="62" t="str">
        <x:v>贷方</x:v>
      </x:c>
      <x:c r="I4" s="62" t="str">
        <x:v>损益类别</x:v>
      </x:c>
      <x:c r="J4" s="62" t="str">
        <x:v>项目/合同号</x:v>
      </x:c>
      <x:c r="K4" s="62" t="str">
        <x:v>对方名称</x:v>
      </x:c>
      <x:c r="L4" s="62" t="str">
        <x:v>发票号码</x:v>
      </x:c>
      <x:c r="M4" s="62" t="str">
        <x:v>银行流水号</x:v>
      </x:c>
      <x:c r="N4" s="62" t="str">
        <x:v>凭证借贷差额</x:v>
      </x:c>
      <x:c r="O4" s="63" t="str">
        <x:v>附件文件名</x:v>
      </x:c>
      <x:c r="P4" s="2"/>
      <x:c r="Q4" s="2"/>
    </x:row>
    <x:row r="5">
      <x:c r="A5" s="65" t="n">
        <x:v>46024</x:v>
      </x:c>
      <x:c r="B5" s="11" t="str">
        <x:v>记-001</x:v>
      </x:c>
      <x:c r="C5" s="11" t="n">
        <x:v>1</x:v>
      </x:c>
      <x:c r="D5" s="11" t="str">
        <x:v>股东实缴出资</x:v>
      </x:c>
      <x:c r="E5" s="11" t="str">
        <x:v>1002</x:v>
      </x:c>
      <x:c r="F5" s="11" t="str">
        <x:v>银行存款</x:v>
      </x:c>
      <x:c r="G5" s="66" t="n">
        <x:v>10000</x:v>
      </x:c>
      <x:c r="H5" s="66" t="n">
        <x:v>0</x:v>
      </x:c>
      <x:c r="I5" s="11" t="str">
        <x:v>非损益</x:v>
      </x:c>
      <x:c r="J5" s="11" t="str"/>
      <x:c r="K5" s="11" t="str">
        <x:v>股东本人</x:v>
      </x:c>
      <x:c r="L5" s="11" t="str"/>
      <x:c r="M5" s="11" t="str">
        <x:v>示例B001</x:v>
      </x:c>
      <x:c r="N5" s="70" t="n">
        <x:f>IF(B5="","",SUMIFS($G$5:$G$204,$B$5:$B$204,B5)-SUMIFS($H$5:$H$204,$B$5:$B$204,B5))</x:f>
        <x:v>0</x:v>
      </x:c>
      <x:c r="O5" s="11" t="str">
        <x:v>B001.pdf</x:v>
      </x:c>
      <x:c r="P5" s="2"/>
      <x:c r="Q5" s="2"/>
    </x:row>
    <x:row r="6">
      <x:c r="A6" s="65" t="n">
        <x:v>46024</x:v>
      </x:c>
      <x:c r="B6" s="11" t="str">
        <x:v>记-001</x:v>
      </x:c>
      <x:c r="C6" s="11" t="n">
        <x:v>2</x:v>
      </x:c>
      <x:c r="D6" s="11" t="str">
        <x:v>股东实缴出资</x:v>
      </x:c>
      <x:c r="E6" s="11" t="str">
        <x:v>4001</x:v>
      </x:c>
      <x:c r="F6" s="11" t="str">
        <x:v>实收资本</x:v>
      </x:c>
      <x:c r="G6" s="66" t="n">
        <x:v>0</x:v>
      </x:c>
      <x:c r="H6" s="66" t="n">
        <x:v>10000</x:v>
      </x:c>
      <x:c r="I6" s="11" t="str">
        <x:v>非损益</x:v>
      </x:c>
      <x:c r="J6" s="11" t="str"/>
      <x:c r="K6" s="11" t="str">
        <x:v>股东本人</x:v>
      </x:c>
      <x:c r="L6" s="11" t="str"/>
      <x:c r="M6" s="11" t="str">
        <x:v>示例B001</x:v>
      </x:c>
      <x:c r="N6" s="70" t="n">
        <x:f>IF(B6="","",SUMIFS($G$5:$G$204,$B$5:$B$204,B6)-SUMIFS($H$5:$H$204,$B$5:$B$204,B6))</x:f>
        <x:v>0</x:v>
      </x:c>
      <x:c r="O6" s="11" t="str">
        <x:v>B001.pdf</x:v>
      </x:c>
      <x:c r="P6" s="2"/>
      <x:c r="Q6" s="2"/>
    </x:row>
    <x:row r="7">
      <x:c r="A7" s="65" t="n">
        <x:v>46037</x:v>
      </x:c>
      <x:c r="B7" s="11" t="str">
        <x:v>记-002</x:v>
      </x:c>
      <x:c r="C7" s="11" t="n">
        <x:v>1</x:v>
      </x:c>
      <x:c r="D7" s="11" t="str">
        <x:v>确认软件开发收入</x:v>
      </x:c>
      <x:c r="E7" s="11" t="str">
        <x:v>1002</x:v>
      </x:c>
      <x:c r="F7" s="11" t="str">
        <x:v>银行存款</x:v>
      </x:c>
      <x:c r="G7" s="66" t="n">
        <x:v>10000</x:v>
      </x:c>
      <x:c r="H7" s="66" t="n">
        <x:v>0</x:v>
      </x:c>
      <x:c r="I7" s="11" t="str">
        <x:v>非损益</x:v>
      </x:c>
      <x:c r="J7" s="11" t="str">
        <x:v>示例-软件开发</x:v>
      </x:c>
      <x:c r="K7" s="11" t="str">
        <x:v>示例客户</x:v>
      </x:c>
      <x:c r="L7" s="11" t="str">
        <x:v>示例001</x:v>
      </x:c>
      <x:c r="M7" s="11" t="str">
        <x:v>示例B002</x:v>
      </x:c>
      <x:c r="N7" s="70" t="n">
        <x:f>IF(B7="","",SUMIFS($G$5:$G$204,$B$5:$B$204,B7)-SUMIFS($H$5:$H$204,$B$5:$B$204,B7))</x:f>
        <x:v>0</x:v>
      </x:c>
      <x:c r="O7" s="11" t="str">
        <x:v>合同+验收+发票+回单</x:v>
      </x:c>
      <x:c r="P7" s="2"/>
      <x:c r="Q7" s="2"/>
    </x:row>
    <x:row r="8">
      <x:c r="A8" s="65" t="n">
        <x:v>46037</x:v>
      </x:c>
      <x:c r="B8" s="11" t="str">
        <x:v>记-002</x:v>
      </x:c>
      <x:c r="C8" s="11" t="n">
        <x:v>2</x:v>
      </x:c>
      <x:c r="D8" s="11" t="str">
        <x:v>确认软件开发收入</x:v>
      </x:c>
      <x:c r="E8" s="11" t="str">
        <x:v>5001</x:v>
      </x:c>
      <x:c r="F8" s="11" t="str">
        <x:v>主营业务收入</x:v>
      </x:c>
      <x:c r="G8" s="66" t="n">
        <x:v>0</x:v>
      </x:c>
      <x:c r="H8" s="66" t="n">
        <x:v>10000</x:v>
      </x:c>
      <x:c r="I8" s="11" t="str">
        <x:v>收入</x:v>
      </x:c>
      <x:c r="J8" s="11" t="str">
        <x:v>示例-软件开发</x:v>
      </x:c>
      <x:c r="K8" s="11" t="str">
        <x:v>示例客户</x:v>
      </x:c>
      <x:c r="L8" s="11" t="str">
        <x:v>示例001</x:v>
      </x:c>
      <x:c r="M8" s="11" t="str">
        <x:v>示例B002</x:v>
      </x:c>
      <x:c r="N8" s="70" t="n">
        <x:f>IF(B8="","",SUMIFS($G$5:$G$204,$B$5:$B$204,B8)-SUMIFS($H$5:$H$204,$B$5:$B$204,B8))</x:f>
        <x:v>0</x:v>
      </x:c>
      <x:c r="O8" s="11" t="str">
        <x:v>合同+验收+发票+回单</x:v>
      </x:c>
      <x:c r="P8" s="2"/>
      <x:c r="Q8" s="2"/>
    </x:row>
    <x:row r="9">
      <x:c r="A9" s="65" t="n">
        <x:v>46042</x:v>
      </x:c>
      <x:c r="B9" s="11" t="str">
        <x:v>记-003</x:v>
      </x:c>
      <x:c r="C9" s="11" t="n">
        <x:v>1</x:v>
      </x:c>
      <x:c r="D9" s="11" t="str">
        <x:v>报销项目工具费</x:v>
      </x:c>
      <x:c r="E9" s="11" t="str">
        <x:v>5602</x:v>
      </x:c>
      <x:c r="F9" s="11" t="str">
        <x:v>管理费用</x:v>
      </x:c>
      <x:c r="G9" s="66" t="n">
        <x:v>500</x:v>
      </x:c>
      <x:c r="H9" s="66" t="n">
        <x:v>0</x:v>
      </x:c>
      <x:c r="I9" s="11" t="str">
        <x:v>成本费用</x:v>
      </x:c>
      <x:c r="J9" s="11" t="str">
        <x:v>示例-软件开发</x:v>
      </x:c>
      <x:c r="K9" s="11" t="str">
        <x:v>示例供应商</x:v>
      </x:c>
      <x:c r="L9" s="11" t="str">
        <x:v>示例002</x:v>
      </x:c>
      <x:c r="M9" s="11" t="str">
        <x:v>示例B003</x:v>
      </x:c>
      <x:c r="N9" s="70" t="n">
        <x:f>IF(B9="","",SUMIFS($G$5:$G$204,$B$5:$B$204,B9)-SUMIFS($H$5:$H$204,$B$5:$B$204,B9))</x:f>
        <x:v>0</x:v>
      </x:c>
      <x:c r="O9" s="11" t="str">
        <x:v>报销单+发票</x:v>
      </x:c>
      <x:c r="P9" s="2"/>
      <x:c r="Q9" s="2"/>
    </x:row>
    <x:row r="10">
      <x:c r="A10" s="65" t="n">
        <x:v>46042</x:v>
      </x:c>
      <x:c r="B10" s="11" t="str">
        <x:v>记-003</x:v>
      </x:c>
      <x:c r="C10" s="11" t="n">
        <x:v>2</x:v>
      </x:c>
      <x:c r="D10" s="11" t="str">
        <x:v>支付报销款</x:v>
      </x:c>
      <x:c r="E10" s="11" t="str">
        <x:v>1002</x:v>
      </x:c>
      <x:c r="F10" s="11" t="str">
        <x:v>银行存款</x:v>
      </x:c>
      <x:c r="G10" s="66" t="n">
        <x:v>0</x:v>
      </x:c>
      <x:c r="H10" s="66" t="n">
        <x:v>500</x:v>
      </x:c>
      <x:c r="I10" s="11" t="str">
        <x:v>非损益</x:v>
      </x:c>
      <x:c r="J10" s="11" t="str">
        <x:v>示例-软件开发</x:v>
      </x:c>
      <x:c r="K10" s="11" t="str">
        <x:v>股东本人</x:v>
      </x:c>
      <x:c r="L10" s="11" t="str">
        <x:v>示例002</x:v>
      </x:c>
      <x:c r="M10" s="11" t="str">
        <x:v>示例B003</x:v>
      </x:c>
      <x:c r="N10" s="70" t="n">
        <x:f>IF(B10="","",SUMIFS($G$5:$G$204,$B$5:$B$204,B10)-SUMIFS($H$5:$H$204,$B$5:$B$204,B10))</x:f>
        <x:v>0</x:v>
      </x:c>
      <x:c r="O10" s="11" t="str">
        <x:v>报销单+回单</x:v>
      </x:c>
      <x:c r="P10" s="2"/>
      <x:c r="Q10" s="2"/>
    </x:row>
    <x:row r="11">
      <x:c r="A11" s="65"/>
      <x:c r="B11" s="11"/>
      <x:c r="C11" s="11"/>
      <x:c r="D11" s="11"/>
      <x:c r="E11" s="11"/>
      <x:c r="F11" s="11"/>
      <x:c r="G11" s="66"/>
      <x:c r="H11" s="66"/>
      <x:c r="I11" s="11"/>
      <x:c r="J11" s="11"/>
      <x:c r="K11" s="11"/>
      <x:c r="L11" s="11"/>
      <x:c r="M11" s="11"/>
      <x:c r="N11" s="70" t="str">
        <x:f>IF(B11="","",SUMIFS($G$5:$G$204,$B$5:$B$204,B11)-SUMIFS($H$5:$H$204,$B$5:$B$204,B11))</x:f>
      </x:c>
      <x:c r="O11" s="11"/>
      <x:c r="P11" s="2"/>
      <x:c r="Q11" s="2"/>
    </x:row>
    <x:row r="12">
      <x:c r="A12" s="65"/>
      <x:c r="B12" s="11"/>
      <x:c r="C12" s="11"/>
      <x:c r="D12" s="11"/>
      <x:c r="E12" s="11"/>
      <x:c r="F12" s="11"/>
      <x:c r="G12" s="66"/>
      <x:c r="H12" s="66"/>
      <x:c r="I12" s="11"/>
      <x:c r="J12" s="11"/>
      <x:c r="K12" s="11"/>
      <x:c r="L12" s="11"/>
      <x:c r="M12" s="11"/>
      <x:c r="N12" s="70" t="str">
        <x:f>IF(B12="","",SUMIFS($G$5:$G$204,$B$5:$B$204,B12)-SUMIFS($H$5:$H$204,$B$5:$B$204,B12))</x:f>
      </x:c>
      <x:c r="O12" s="11"/>
      <x:c r="P12" s="2"/>
      <x:c r="Q12" s="2"/>
    </x:row>
    <x:row r="13">
      <x:c r="A13" s="65"/>
      <x:c r="B13" s="11"/>
      <x:c r="C13" s="11"/>
      <x:c r="D13" s="11"/>
      <x:c r="E13" s="11"/>
      <x:c r="F13" s="11"/>
      <x:c r="G13" s="66"/>
      <x:c r="H13" s="66"/>
      <x:c r="I13" s="11"/>
      <x:c r="J13" s="11"/>
      <x:c r="K13" s="11"/>
      <x:c r="L13" s="11"/>
      <x:c r="M13" s="11"/>
      <x:c r="N13" s="70" t="str">
        <x:f>IF(B13="","",SUMIFS($G$5:$G$204,$B$5:$B$204,B13)-SUMIFS($H$5:$H$204,$B$5:$B$204,B13))</x:f>
      </x:c>
      <x:c r="O13" s="11"/>
      <x:c r="P13" s="2"/>
      <x:c r="Q13" s="2"/>
    </x:row>
    <x:row r="14">
      <x:c r="A14" s="65"/>
      <x:c r="B14" s="11"/>
      <x:c r="C14" s="11"/>
      <x:c r="D14" s="11"/>
      <x:c r="E14" s="11"/>
      <x:c r="F14" s="11"/>
      <x:c r="G14" s="66"/>
      <x:c r="H14" s="66"/>
      <x:c r="I14" s="11"/>
      <x:c r="J14" s="11"/>
      <x:c r="K14" s="11"/>
      <x:c r="L14" s="11"/>
      <x:c r="M14" s="11"/>
      <x:c r="N14" s="70" t="str">
        <x:f>IF(B14="","",SUMIFS($G$5:$G$204,$B$5:$B$204,B14)-SUMIFS($H$5:$H$204,$B$5:$B$204,B14))</x:f>
      </x:c>
      <x:c r="O14" s="11"/>
      <x:c r="P14" s="2"/>
      <x:c r="Q14" s="2"/>
    </x:row>
    <x:row r="15">
      <x:c r="A15" s="65"/>
      <x:c r="B15" s="11"/>
      <x:c r="C15" s="11"/>
      <x:c r="D15" s="11"/>
      <x:c r="E15" s="11"/>
      <x:c r="F15" s="11"/>
      <x:c r="G15" s="66"/>
      <x:c r="H15" s="66"/>
      <x:c r="I15" s="11"/>
      <x:c r="J15" s="11"/>
      <x:c r="K15" s="11"/>
      <x:c r="L15" s="11"/>
      <x:c r="M15" s="11"/>
      <x:c r="N15" s="70" t="str">
        <x:f>IF(B15="","",SUMIFS($G$5:$G$204,$B$5:$B$204,B15)-SUMIFS($H$5:$H$204,$B$5:$B$204,B15))</x:f>
      </x:c>
      <x:c r="O15" s="11"/>
      <x:c r="P15" s="2"/>
      <x:c r="Q15" s="2"/>
    </x:row>
    <x:row r="16">
      <x:c r="A16" s="65"/>
      <x:c r="B16" s="11"/>
      <x:c r="C16" s="11"/>
      <x:c r="D16" s="11"/>
      <x:c r="E16" s="11"/>
      <x:c r="F16" s="11"/>
      <x:c r="G16" s="66"/>
      <x:c r="H16" s="66"/>
      <x:c r="I16" s="11"/>
      <x:c r="J16" s="11"/>
      <x:c r="K16" s="11"/>
      <x:c r="L16" s="11"/>
      <x:c r="M16" s="11"/>
      <x:c r="N16" s="70" t="str">
        <x:f>IF(B16="","",SUMIFS($G$5:$G$204,$B$5:$B$204,B16)-SUMIFS($H$5:$H$204,$B$5:$B$204,B16))</x:f>
      </x:c>
      <x:c r="O16" s="11"/>
      <x:c r="P16" s="2"/>
      <x:c r="Q16" s="2"/>
    </x:row>
    <x:row r="17">
      <x:c r="A17" s="65"/>
      <x:c r="B17" s="11"/>
      <x:c r="C17" s="11"/>
      <x:c r="D17" s="11"/>
      <x:c r="E17" s="11"/>
      <x:c r="F17" s="11"/>
      <x:c r="G17" s="66"/>
      <x:c r="H17" s="66"/>
      <x:c r="I17" s="11"/>
      <x:c r="J17" s="11"/>
      <x:c r="K17" s="11"/>
      <x:c r="L17" s="11"/>
      <x:c r="M17" s="11"/>
      <x:c r="N17" s="70" t="str">
        <x:f>IF(B17="","",SUMIFS($G$5:$G$204,$B$5:$B$204,B17)-SUMIFS($H$5:$H$204,$B$5:$B$204,B17))</x:f>
      </x:c>
      <x:c r="O17" s="11"/>
      <x:c r="P17" s="2"/>
      <x:c r="Q17" s="2"/>
    </x:row>
    <x:row r="18">
      <x:c r="A18" s="65"/>
      <x:c r="B18" s="11"/>
      <x:c r="C18" s="11"/>
      <x:c r="D18" s="11"/>
      <x:c r="E18" s="11"/>
      <x:c r="F18" s="11"/>
      <x:c r="G18" s="66"/>
      <x:c r="H18" s="66"/>
      <x:c r="I18" s="11"/>
      <x:c r="J18" s="11"/>
      <x:c r="K18" s="11"/>
      <x:c r="L18" s="11"/>
      <x:c r="M18" s="11"/>
      <x:c r="N18" s="70" t="str">
        <x:f>IF(B18="","",SUMIFS($G$5:$G$204,$B$5:$B$204,B18)-SUMIFS($H$5:$H$204,$B$5:$B$204,B18))</x:f>
      </x:c>
      <x:c r="O18" s="11"/>
      <x:c r="P18" s="2"/>
      <x:c r="Q18" s="2"/>
    </x:row>
    <x:row r="19">
      <x:c r="A19" s="65"/>
      <x:c r="B19" s="11"/>
      <x:c r="C19" s="11"/>
      <x:c r="D19" s="11"/>
      <x:c r="E19" s="11"/>
      <x:c r="F19" s="11"/>
      <x:c r="G19" s="66"/>
      <x:c r="H19" s="66"/>
      <x:c r="I19" s="11"/>
      <x:c r="J19" s="11"/>
      <x:c r="K19" s="11"/>
      <x:c r="L19" s="11"/>
      <x:c r="M19" s="11"/>
      <x:c r="N19" s="70" t="str">
        <x:f>IF(B19="","",SUMIFS($G$5:$G$204,$B$5:$B$204,B19)-SUMIFS($H$5:$H$204,$B$5:$B$204,B19))</x:f>
      </x:c>
      <x:c r="O19" s="11"/>
      <x:c r="P19" s="2"/>
      <x:c r="Q19" s="2"/>
    </x:row>
    <x:row r="20">
      <x:c r="A20" s="65"/>
      <x:c r="B20" s="11"/>
      <x:c r="C20" s="11"/>
      <x:c r="D20" s="11"/>
      <x:c r="E20" s="11"/>
      <x:c r="F20" s="11"/>
      <x:c r="G20" s="66"/>
      <x:c r="H20" s="66"/>
      <x:c r="I20" s="11"/>
      <x:c r="J20" s="11"/>
      <x:c r="K20" s="11"/>
      <x:c r="L20" s="11"/>
      <x:c r="M20" s="11"/>
      <x:c r="N20" s="70" t="str">
        <x:f>IF(B20="","",SUMIFS($G$5:$G$204,$B$5:$B$204,B20)-SUMIFS($H$5:$H$204,$B$5:$B$204,B20))</x:f>
      </x:c>
      <x:c r="O20" s="11"/>
      <x:c r="P20" s="2"/>
      <x:c r="Q20" s="2"/>
    </x:row>
    <x:row r="21">
      <x:c r="A21" s="65"/>
      <x:c r="B21" s="11"/>
      <x:c r="C21" s="11"/>
      <x:c r="D21" s="11"/>
      <x:c r="E21" s="11"/>
      <x:c r="F21" s="11"/>
      <x:c r="G21" s="66"/>
      <x:c r="H21" s="66"/>
      <x:c r="I21" s="11"/>
      <x:c r="J21" s="11"/>
      <x:c r="K21" s="11"/>
      <x:c r="L21" s="11"/>
      <x:c r="M21" s="11"/>
      <x:c r="N21" s="70" t="str">
        <x:f>IF(B21="","",SUMIFS($G$5:$G$204,$B$5:$B$204,B21)-SUMIFS($H$5:$H$204,$B$5:$B$204,B21))</x:f>
      </x:c>
      <x:c r="O21" s="11"/>
      <x:c r="P21" s="2"/>
      <x:c r="Q21" s="2"/>
    </x:row>
    <x:row r="22">
      <x:c r="A22" s="65"/>
      <x:c r="B22" s="11"/>
      <x:c r="C22" s="11"/>
      <x:c r="D22" s="11"/>
      <x:c r="E22" s="11"/>
      <x:c r="F22" s="11"/>
      <x:c r="G22" s="66"/>
      <x:c r="H22" s="66"/>
      <x:c r="I22" s="11"/>
      <x:c r="J22" s="11"/>
      <x:c r="K22" s="11"/>
      <x:c r="L22" s="11"/>
      <x:c r="M22" s="11"/>
      <x:c r="N22" s="70" t="str">
        <x:f>IF(B22="","",SUMIFS($G$5:$G$204,$B$5:$B$204,B22)-SUMIFS($H$5:$H$204,$B$5:$B$204,B22))</x:f>
      </x:c>
      <x:c r="O22" s="11"/>
      <x:c r="P22" s="2"/>
      <x:c r="Q22" s="2"/>
    </x:row>
    <x:row r="23">
      <x:c r="A23" s="65"/>
      <x:c r="B23" s="11"/>
      <x:c r="C23" s="11"/>
      <x:c r="D23" s="11"/>
      <x:c r="E23" s="11"/>
      <x:c r="F23" s="11"/>
      <x:c r="G23" s="66"/>
      <x:c r="H23" s="66"/>
      <x:c r="I23" s="11"/>
      <x:c r="J23" s="11"/>
      <x:c r="K23" s="11"/>
      <x:c r="L23" s="11"/>
      <x:c r="M23" s="11"/>
      <x:c r="N23" s="70" t="str">
        <x:f>IF(B23="","",SUMIFS($G$5:$G$204,$B$5:$B$204,B23)-SUMIFS($H$5:$H$204,$B$5:$B$204,B23))</x:f>
      </x:c>
      <x:c r="O23" s="11"/>
      <x:c r="P23" s="2"/>
      <x:c r="Q23" s="2"/>
    </x:row>
    <x:row r="24">
      <x:c r="A24" s="65"/>
      <x:c r="B24" s="11"/>
      <x:c r="C24" s="11"/>
      <x:c r="D24" s="11"/>
      <x:c r="E24" s="11"/>
      <x:c r="F24" s="11"/>
      <x:c r="G24" s="66"/>
      <x:c r="H24" s="66"/>
      <x:c r="I24" s="11"/>
      <x:c r="J24" s="11"/>
      <x:c r="K24" s="11"/>
      <x:c r="L24" s="11"/>
      <x:c r="M24" s="11"/>
      <x:c r="N24" s="70" t="str">
        <x:f>IF(B24="","",SUMIFS($G$5:$G$204,$B$5:$B$204,B24)-SUMIFS($H$5:$H$204,$B$5:$B$204,B24))</x:f>
      </x:c>
      <x:c r="O24" s="11"/>
      <x:c r="P24" s="2"/>
      <x:c r="Q24" s="2"/>
    </x:row>
    <x:row r="25">
      <x:c r="A25" s="65"/>
      <x:c r="B25" s="11"/>
      <x:c r="C25" s="11"/>
      <x:c r="D25" s="11"/>
      <x:c r="E25" s="11"/>
      <x:c r="F25" s="11"/>
      <x:c r="G25" s="66"/>
      <x:c r="H25" s="66"/>
      <x:c r="I25" s="11"/>
      <x:c r="J25" s="11"/>
      <x:c r="K25" s="11"/>
      <x:c r="L25" s="11"/>
      <x:c r="M25" s="11"/>
      <x:c r="N25" s="70" t="str">
        <x:f>IF(B25="","",SUMIFS($G$5:$G$204,$B$5:$B$204,B25)-SUMIFS($H$5:$H$204,$B$5:$B$204,B25))</x:f>
      </x:c>
      <x:c r="O25" s="11"/>
      <x:c r="P25" s="2"/>
      <x:c r="Q25" s="2"/>
    </x:row>
    <x:row r="26">
      <x:c r="A26" s="65"/>
      <x:c r="B26" s="11"/>
      <x:c r="C26" s="11"/>
      <x:c r="D26" s="11"/>
      <x:c r="E26" s="11"/>
      <x:c r="F26" s="11"/>
      <x:c r="G26" s="66"/>
      <x:c r="H26" s="66"/>
      <x:c r="I26" s="11"/>
      <x:c r="J26" s="11"/>
      <x:c r="K26" s="11"/>
      <x:c r="L26" s="11"/>
      <x:c r="M26" s="11"/>
      <x:c r="N26" s="70" t="str">
        <x:f>IF(B26="","",SUMIFS($G$5:$G$204,$B$5:$B$204,B26)-SUMIFS($H$5:$H$204,$B$5:$B$204,B26))</x:f>
      </x:c>
      <x:c r="O26" s="11"/>
      <x:c r="P26" s="2"/>
      <x:c r="Q26" s="2"/>
    </x:row>
    <x:row r="27">
      <x:c r="A27" s="65"/>
      <x:c r="B27" s="11"/>
      <x:c r="C27" s="11"/>
      <x:c r="D27" s="11"/>
      <x:c r="E27" s="11"/>
      <x:c r="F27" s="11"/>
      <x:c r="G27" s="66"/>
      <x:c r="H27" s="66"/>
      <x:c r="I27" s="11"/>
      <x:c r="J27" s="11"/>
      <x:c r="K27" s="11"/>
      <x:c r="L27" s="11"/>
      <x:c r="M27" s="11"/>
      <x:c r="N27" s="70" t="str">
        <x:f>IF(B27="","",SUMIFS($G$5:$G$204,$B$5:$B$204,B27)-SUMIFS($H$5:$H$204,$B$5:$B$204,B27))</x:f>
      </x:c>
      <x:c r="O27" s="11"/>
      <x:c r="P27" s="2"/>
      <x:c r="Q27" s="2"/>
    </x:row>
    <x:row r="28">
      <x:c r="A28" s="65"/>
      <x:c r="B28" s="11"/>
      <x:c r="C28" s="11"/>
      <x:c r="D28" s="11"/>
      <x:c r="E28" s="11"/>
      <x:c r="F28" s="11"/>
      <x:c r="G28" s="66"/>
      <x:c r="H28" s="66"/>
      <x:c r="I28" s="11"/>
      <x:c r="J28" s="11"/>
      <x:c r="K28" s="11"/>
      <x:c r="L28" s="11"/>
      <x:c r="M28" s="11"/>
      <x:c r="N28" s="70" t="str">
        <x:f>IF(B28="","",SUMIFS($G$5:$G$204,$B$5:$B$204,B28)-SUMIFS($H$5:$H$204,$B$5:$B$204,B28))</x:f>
      </x:c>
      <x:c r="O28" s="11"/>
      <x:c r="P28" s="2"/>
      <x:c r="Q28" s="2"/>
    </x:row>
    <x:row r="29">
      <x:c r="A29" s="65"/>
      <x:c r="B29" s="11"/>
      <x:c r="C29" s="11"/>
      <x:c r="D29" s="11"/>
      <x:c r="E29" s="11"/>
      <x:c r="F29" s="11"/>
      <x:c r="G29" s="66"/>
      <x:c r="H29" s="66"/>
      <x:c r="I29" s="11"/>
      <x:c r="J29" s="11"/>
      <x:c r="K29" s="11"/>
      <x:c r="L29" s="11"/>
      <x:c r="M29" s="11"/>
      <x:c r="N29" s="70" t="str">
        <x:f>IF(B29="","",SUMIFS($G$5:$G$204,$B$5:$B$204,B29)-SUMIFS($H$5:$H$204,$B$5:$B$204,B29))</x:f>
      </x:c>
      <x:c r="O29" s="11"/>
      <x:c r="P29" s="2"/>
      <x:c r="Q29" s="2"/>
    </x:row>
    <x:row r="30">
      <x:c r="A30" s="65"/>
      <x:c r="B30" s="11"/>
      <x:c r="C30" s="11"/>
      <x:c r="D30" s="11"/>
      <x:c r="E30" s="11"/>
      <x:c r="F30" s="11"/>
      <x:c r="G30" s="66"/>
      <x:c r="H30" s="66"/>
      <x:c r="I30" s="11"/>
      <x:c r="J30" s="11"/>
      <x:c r="K30" s="11"/>
      <x:c r="L30" s="11"/>
      <x:c r="M30" s="11"/>
      <x:c r="N30" s="70" t="str">
        <x:f>IF(B30="","",SUMIFS($G$5:$G$204,$B$5:$B$204,B30)-SUMIFS($H$5:$H$204,$B$5:$B$204,B30))</x:f>
      </x:c>
      <x:c r="O30" s="11"/>
      <x:c r="P30" s="2"/>
      <x:c r="Q30" s="2"/>
    </x:row>
    <x:row r="31">
      <x:c r="A31" s="65"/>
      <x:c r="B31" s="11"/>
      <x:c r="C31" s="11"/>
      <x:c r="D31" s="11"/>
      <x:c r="E31" s="11"/>
      <x:c r="F31" s="11"/>
      <x:c r="G31" s="66"/>
      <x:c r="H31" s="66"/>
      <x:c r="I31" s="11"/>
      <x:c r="J31" s="11"/>
      <x:c r="K31" s="11"/>
      <x:c r="L31" s="11"/>
      <x:c r="M31" s="11"/>
      <x:c r="N31" s="70" t="str">
        <x:f>IF(B31="","",SUMIFS($G$5:$G$204,$B$5:$B$204,B31)-SUMIFS($H$5:$H$204,$B$5:$B$204,B31))</x:f>
      </x:c>
      <x:c r="O31" s="11"/>
      <x:c r="P31" s="2"/>
      <x:c r="Q31" s="2"/>
    </x:row>
    <x:row r="32">
      <x:c r="A32" s="65"/>
      <x:c r="B32" s="11"/>
      <x:c r="C32" s="11"/>
      <x:c r="D32" s="11"/>
      <x:c r="E32" s="11"/>
      <x:c r="F32" s="11"/>
      <x:c r="G32" s="66"/>
      <x:c r="H32" s="66"/>
      <x:c r="I32" s="11"/>
      <x:c r="J32" s="11"/>
      <x:c r="K32" s="11"/>
      <x:c r="L32" s="11"/>
      <x:c r="M32" s="11"/>
      <x:c r="N32" s="70" t="str">
        <x:f>IF(B32="","",SUMIFS($G$5:$G$204,$B$5:$B$204,B32)-SUMIFS($H$5:$H$204,$B$5:$B$204,B32))</x:f>
      </x:c>
      <x:c r="O32" s="11"/>
      <x:c r="P32" s="2"/>
      <x:c r="Q32" s="2"/>
    </x:row>
    <x:row r="33">
      <x:c r="A33" s="65"/>
      <x:c r="B33" s="11"/>
      <x:c r="C33" s="11"/>
      <x:c r="D33" s="11"/>
      <x:c r="E33" s="11"/>
      <x:c r="F33" s="11"/>
      <x:c r="G33" s="66"/>
      <x:c r="H33" s="66"/>
      <x:c r="I33" s="11"/>
      <x:c r="J33" s="11"/>
      <x:c r="K33" s="11"/>
      <x:c r="L33" s="11"/>
      <x:c r="M33" s="11"/>
      <x:c r="N33" s="70" t="str">
        <x:f>IF(B33="","",SUMIFS($G$5:$G$204,$B$5:$B$204,B33)-SUMIFS($H$5:$H$204,$B$5:$B$204,B33))</x:f>
      </x:c>
      <x:c r="O33" s="11"/>
      <x:c r="P33" s="2"/>
      <x:c r="Q33" s="2"/>
    </x:row>
    <x:row r="34">
      <x:c r="A34" s="65"/>
      <x:c r="B34" s="11"/>
      <x:c r="C34" s="11"/>
      <x:c r="D34" s="11"/>
      <x:c r="E34" s="11"/>
      <x:c r="F34" s="11"/>
      <x:c r="G34" s="66"/>
      <x:c r="H34" s="66"/>
      <x:c r="I34" s="11"/>
      <x:c r="J34" s="11"/>
      <x:c r="K34" s="11"/>
      <x:c r="L34" s="11"/>
      <x:c r="M34" s="11"/>
      <x:c r="N34" s="70" t="str">
        <x:f>IF(B34="","",SUMIFS($G$5:$G$204,$B$5:$B$204,B34)-SUMIFS($H$5:$H$204,$B$5:$B$204,B34))</x:f>
      </x:c>
      <x:c r="O34" s="11"/>
      <x:c r="P34" s="2"/>
      <x:c r="Q34" s="2"/>
    </x:row>
    <x:row r="35">
      <x:c r="A35" s="65"/>
      <x:c r="B35" s="11"/>
      <x:c r="C35" s="11"/>
      <x:c r="D35" s="11"/>
      <x:c r="E35" s="11"/>
      <x:c r="F35" s="11"/>
      <x:c r="G35" s="66"/>
      <x:c r="H35" s="66"/>
      <x:c r="I35" s="11"/>
      <x:c r="J35" s="11"/>
      <x:c r="K35" s="11"/>
      <x:c r="L35" s="11"/>
      <x:c r="M35" s="11"/>
      <x:c r="N35" s="70" t="str">
        <x:f>IF(B35="","",SUMIFS($G$5:$G$204,$B$5:$B$204,B35)-SUMIFS($H$5:$H$204,$B$5:$B$204,B35))</x:f>
      </x:c>
      <x:c r="O35" s="11"/>
      <x:c r="P35" s="2"/>
      <x:c r="Q35" s="2"/>
    </x:row>
    <x:row r="36">
      <x:c r="A36" s="65"/>
      <x:c r="B36" s="11"/>
      <x:c r="C36" s="11"/>
      <x:c r="D36" s="11"/>
      <x:c r="E36" s="11"/>
      <x:c r="F36" s="11"/>
      <x:c r="G36" s="66"/>
      <x:c r="H36" s="66"/>
      <x:c r="I36" s="11"/>
      <x:c r="J36" s="11"/>
      <x:c r="K36" s="11"/>
      <x:c r="L36" s="11"/>
      <x:c r="M36" s="11"/>
      <x:c r="N36" s="70" t="str">
        <x:f>IF(B36="","",SUMIFS($G$5:$G$204,$B$5:$B$204,B36)-SUMIFS($H$5:$H$204,$B$5:$B$204,B36))</x:f>
      </x:c>
      <x:c r="O36" s="11"/>
      <x:c r="P36" s="2"/>
      <x:c r="Q36" s="2"/>
    </x:row>
    <x:row r="37">
      <x:c r="A37" s="65"/>
      <x:c r="B37" s="11"/>
      <x:c r="C37" s="11"/>
      <x:c r="D37" s="11"/>
      <x:c r="E37" s="11"/>
      <x:c r="F37" s="11"/>
      <x:c r="G37" s="66"/>
      <x:c r="H37" s="66"/>
      <x:c r="I37" s="11"/>
      <x:c r="J37" s="11"/>
      <x:c r="K37" s="11"/>
      <x:c r="L37" s="11"/>
      <x:c r="M37" s="11"/>
      <x:c r="N37" s="70" t="str">
        <x:f>IF(B37="","",SUMIFS($G$5:$G$204,$B$5:$B$204,B37)-SUMIFS($H$5:$H$204,$B$5:$B$204,B37))</x:f>
      </x:c>
      <x:c r="O37" s="11"/>
      <x:c r="P37" s="2"/>
      <x:c r="Q37" s="2"/>
    </x:row>
    <x:row r="38">
      <x:c r="A38" s="65"/>
      <x:c r="B38" s="11"/>
      <x:c r="C38" s="11"/>
      <x:c r="D38" s="11"/>
      <x:c r="E38" s="11"/>
      <x:c r="F38" s="11"/>
      <x:c r="G38" s="66"/>
      <x:c r="H38" s="66"/>
      <x:c r="I38" s="11"/>
      <x:c r="J38" s="11"/>
      <x:c r="K38" s="11"/>
      <x:c r="L38" s="11"/>
      <x:c r="M38" s="11"/>
      <x:c r="N38" s="70" t="str">
        <x:f>IF(B38="","",SUMIFS($G$5:$G$204,$B$5:$B$204,B38)-SUMIFS($H$5:$H$204,$B$5:$B$204,B38))</x:f>
      </x:c>
      <x:c r="O38" s="11"/>
      <x:c r="P38" s="2"/>
      <x:c r="Q38" s="2"/>
    </x:row>
    <x:row r="39">
      <x:c r="A39" s="65"/>
      <x:c r="B39" s="11"/>
      <x:c r="C39" s="11"/>
      <x:c r="D39" s="11"/>
      <x:c r="E39" s="11"/>
      <x:c r="F39" s="11"/>
      <x:c r="G39" s="66"/>
      <x:c r="H39" s="66"/>
      <x:c r="I39" s="11"/>
      <x:c r="J39" s="11"/>
      <x:c r="K39" s="11"/>
      <x:c r="L39" s="11"/>
      <x:c r="M39" s="11"/>
      <x:c r="N39" s="70" t="str">
        <x:f>IF(B39="","",SUMIFS($G$5:$G$204,$B$5:$B$204,B39)-SUMIFS($H$5:$H$204,$B$5:$B$204,B39))</x:f>
      </x:c>
      <x:c r="O39" s="11"/>
      <x:c r="P39" s="2"/>
      <x:c r="Q39" s="2"/>
    </x:row>
    <x:row r="40">
      <x:c r="A40" s="65"/>
      <x:c r="B40" s="11"/>
      <x:c r="C40" s="11"/>
      <x:c r="D40" s="11"/>
      <x:c r="E40" s="11"/>
      <x:c r="F40" s="11"/>
      <x:c r="G40" s="66"/>
      <x:c r="H40" s="66"/>
      <x:c r="I40" s="11"/>
      <x:c r="J40" s="11"/>
      <x:c r="K40" s="11"/>
      <x:c r="L40" s="11"/>
      <x:c r="M40" s="11"/>
      <x:c r="N40" s="70" t="str">
        <x:f>IF(B40="","",SUMIFS($G$5:$G$204,$B$5:$B$204,B40)-SUMIFS($H$5:$H$204,$B$5:$B$204,B40))</x:f>
      </x:c>
      <x:c r="O40" s="11"/>
      <x:c r="P40" s="2"/>
      <x:c r="Q40" s="2"/>
    </x:row>
    <x:row r="41">
      <x:c r="A41" s="65"/>
      <x:c r="B41" s="11"/>
      <x:c r="C41" s="11"/>
      <x:c r="D41" s="11"/>
      <x:c r="E41" s="11"/>
      <x:c r="F41" s="11"/>
      <x:c r="G41" s="66"/>
      <x:c r="H41" s="66"/>
      <x:c r="I41" s="11"/>
      <x:c r="J41" s="11"/>
      <x:c r="K41" s="11"/>
      <x:c r="L41" s="11"/>
      <x:c r="M41" s="11"/>
      <x:c r="N41" s="70" t="str">
        <x:f>IF(B41="","",SUMIFS($G$5:$G$204,$B$5:$B$204,B41)-SUMIFS($H$5:$H$204,$B$5:$B$204,B41))</x:f>
      </x:c>
      <x:c r="O41" s="11"/>
      <x:c r="P41" s="2"/>
      <x:c r="Q41" s="2"/>
    </x:row>
    <x:row r="42">
      <x:c r="A42" s="65"/>
      <x:c r="B42" s="11"/>
      <x:c r="C42" s="11"/>
      <x:c r="D42" s="11"/>
      <x:c r="E42" s="11"/>
      <x:c r="F42" s="11"/>
      <x:c r="G42" s="66"/>
      <x:c r="H42" s="66"/>
      <x:c r="I42" s="11"/>
      <x:c r="J42" s="11"/>
      <x:c r="K42" s="11"/>
      <x:c r="L42" s="11"/>
      <x:c r="M42" s="11"/>
      <x:c r="N42" s="70" t="str">
        <x:f>IF(B42="","",SUMIFS($G$5:$G$204,$B$5:$B$204,B42)-SUMIFS($H$5:$H$204,$B$5:$B$204,B42))</x:f>
      </x:c>
      <x:c r="O42" s="11"/>
      <x:c r="P42" s="2"/>
      <x:c r="Q42" s="2"/>
    </x:row>
    <x:row r="43">
      <x:c r="A43" s="65"/>
      <x:c r="B43" s="11"/>
      <x:c r="C43" s="11"/>
      <x:c r="D43" s="11"/>
      <x:c r="E43" s="11"/>
      <x:c r="F43" s="11"/>
      <x:c r="G43" s="66"/>
      <x:c r="H43" s="66"/>
      <x:c r="I43" s="11"/>
      <x:c r="J43" s="11"/>
      <x:c r="K43" s="11"/>
      <x:c r="L43" s="11"/>
      <x:c r="M43" s="11"/>
      <x:c r="N43" s="70" t="str">
        <x:f>IF(B43="","",SUMIFS($G$5:$G$204,$B$5:$B$204,B43)-SUMIFS($H$5:$H$204,$B$5:$B$204,B43))</x:f>
      </x:c>
      <x:c r="O43" s="11"/>
      <x:c r="P43" s="2"/>
      <x:c r="Q43" s="2"/>
    </x:row>
    <x:row r="44">
      <x:c r="A44" s="65"/>
      <x:c r="B44" s="11"/>
      <x:c r="C44" s="11"/>
      <x:c r="D44" s="11"/>
      <x:c r="E44" s="11"/>
      <x:c r="F44" s="11"/>
      <x:c r="G44" s="66"/>
      <x:c r="H44" s="66"/>
      <x:c r="I44" s="11"/>
      <x:c r="J44" s="11"/>
      <x:c r="K44" s="11"/>
      <x:c r="L44" s="11"/>
      <x:c r="M44" s="11"/>
      <x:c r="N44" s="70" t="str">
        <x:f>IF(B44="","",SUMIFS($G$5:$G$204,$B$5:$B$204,B44)-SUMIFS($H$5:$H$204,$B$5:$B$204,B44))</x:f>
      </x:c>
      <x:c r="O44" s="11"/>
      <x:c r="P44" s="2"/>
      <x:c r="Q44" s="2"/>
    </x:row>
    <x:row r="45">
      <x:c r="A45" s="65"/>
      <x:c r="B45" s="11"/>
      <x:c r="C45" s="11"/>
      <x:c r="D45" s="11"/>
      <x:c r="E45" s="11"/>
      <x:c r="F45" s="11"/>
      <x:c r="G45" s="66"/>
      <x:c r="H45" s="66"/>
      <x:c r="I45" s="11"/>
      <x:c r="J45" s="11"/>
      <x:c r="K45" s="11"/>
      <x:c r="L45" s="11"/>
      <x:c r="M45" s="11"/>
      <x:c r="N45" s="70" t="str">
        <x:f>IF(B45="","",SUMIFS($G$5:$G$204,$B$5:$B$204,B45)-SUMIFS($H$5:$H$204,$B$5:$B$204,B45))</x:f>
      </x:c>
      <x:c r="O45" s="11"/>
      <x:c r="P45" s="2"/>
      <x:c r="Q45" s="2"/>
    </x:row>
    <x:row r="46">
      <x:c r="A46" s="65"/>
      <x:c r="B46" s="11"/>
      <x:c r="C46" s="11"/>
      <x:c r="D46" s="11"/>
      <x:c r="E46" s="11"/>
      <x:c r="F46" s="11"/>
      <x:c r="G46" s="66"/>
      <x:c r="H46" s="66"/>
      <x:c r="I46" s="11"/>
      <x:c r="J46" s="11"/>
      <x:c r="K46" s="11"/>
      <x:c r="L46" s="11"/>
      <x:c r="M46" s="11"/>
      <x:c r="N46" s="70" t="str">
        <x:f>IF(B46="","",SUMIFS($G$5:$G$204,$B$5:$B$204,B46)-SUMIFS($H$5:$H$204,$B$5:$B$204,B46))</x:f>
      </x:c>
      <x:c r="O46" s="11"/>
      <x:c r="P46" s="2"/>
      <x:c r="Q46" s="2"/>
    </x:row>
    <x:row r="47">
      <x:c r="A47" s="65"/>
      <x:c r="B47" s="11"/>
      <x:c r="C47" s="11"/>
      <x:c r="D47" s="11"/>
      <x:c r="E47" s="11"/>
      <x:c r="F47" s="11"/>
      <x:c r="G47" s="66"/>
      <x:c r="H47" s="66"/>
      <x:c r="I47" s="11"/>
      <x:c r="J47" s="11"/>
      <x:c r="K47" s="11"/>
      <x:c r="L47" s="11"/>
      <x:c r="M47" s="11"/>
      <x:c r="N47" s="70" t="str">
        <x:f>IF(B47="","",SUMIFS($G$5:$G$204,$B$5:$B$204,B47)-SUMIFS($H$5:$H$204,$B$5:$B$204,B47))</x:f>
      </x:c>
      <x:c r="O47" s="11"/>
      <x:c r="P47" s="2"/>
      <x:c r="Q47" s="2"/>
    </x:row>
    <x:row r="48">
      <x:c r="A48" s="65"/>
      <x:c r="B48" s="11"/>
      <x:c r="C48" s="11"/>
      <x:c r="D48" s="11"/>
      <x:c r="E48" s="11"/>
      <x:c r="F48" s="11"/>
      <x:c r="G48" s="66"/>
      <x:c r="H48" s="66"/>
      <x:c r="I48" s="11"/>
      <x:c r="J48" s="11"/>
      <x:c r="K48" s="11"/>
      <x:c r="L48" s="11"/>
      <x:c r="M48" s="11"/>
      <x:c r="N48" s="70" t="str">
        <x:f>IF(B48="","",SUMIFS($G$5:$G$204,$B$5:$B$204,B48)-SUMIFS($H$5:$H$204,$B$5:$B$204,B48))</x:f>
      </x:c>
      <x:c r="O48" s="11"/>
      <x:c r="P48" s="2"/>
      <x:c r="Q48" s="2"/>
    </x:row>
    <x:row r="49">
      <x:c r="A49" s="65"/>
      <x:c r="B49" s="11"/>
      <x:c r="C49" s="11"/>
      <x:c r="D49" s="11"/>
      <x:c r="E49" s="11"/>
      <x:c r="F49" s="11"/>
      <x:c r="G49" s="66"/>
      <x:c r="H49" s="66"/>
      <x:c r="I49" s="11"/>
      <x:c r="J49" s="11"/>
      <x:c r="K49" s="11"/>
      <x:c r="L49" s="11"/>
      <x:c r="M49" s="11"/>
      <x:c r="N49" s="70" t="str">
        <x:f>IF(B49="","",SUMIFS($G$5:$G$204,$B$5:$B$204,B49)-SUMIFS($H$5:$H$204,$B$5:$B$204,B49))</x:f>
      </x:c>
      <x:c r="O49" s="11"/>
      <x:c r="P49" s="2"/>
      <x:c r="Q49" s="2"/>
    </x:row>
    <x:row r="50">
      <x:c r="A50" s="65"/>
      <x:c r="B50" s="11"/>
      <x:c r="C50" s="11"/>
      <x:c r="D50" s="11"/>
      <x:c r="E50" s="11"/>
      <x:c r="F50" s="11"/>
      <x:c r="G50" s="66"/>
      <x:c r="H50" s="66"/>
      <x:c r="I50" s="11"/>
      <x:c r="J50" s="11"/>
      <x:c r="K50" s="11"/>
      <x:c r="L50" s="11"/>
      <x:c r="M50" s="11"/>
      <x:c r="N50" s="70" t="str">
        <x:f>IF(B50="","",SUMIFS($G$5:$G$204,$B$5:$B$204,B50)-SUMIFS($H$5:$H$204,$B$5:$B$204,B50))</x:f>
      </x:c>
      <x:c r="O50" s="11"/>
      <x:c r="P50" s="2"/>
      <x:c r="Q50" s="2"/>
    </x:row>
    <x:row r="51">
      <x:c r="A51" s="65"/>
      <x:c r="B51" s="11"/>
      <x:c r="C51" s="11"/>
      <x:c r="D51" s="11"/>
      <x:c r="E51" s="11"/>
      <x:c r="F51" s="11"/>
      <x:c r="G51" s="66"/>
      <x:c r="H51" s="66"/>
      <x:c r="I51" s="11"/>
      <x:c r="J51" s="11"/>
      <x:c r="K51" s="11"/>
      <x:c r="L51" s="11"/>
      <x:c r="M51" s="11"/>
      <x:c r="N51" s="70" t="str">
        <x:f>IF(B51="","",SUMIFS($G$5:$G$204,$B$5:$B$204,B51)-SUMIFS($H$5:$H$204,$B$5:$B$204,B51))</x:f>
      </x:c>
      <x:c r="O51" s="11"/>
      <x:c r="P51" s="2"/>
      <x:c r="Q51" s="2"/>
    </x:row>
    <x:row r="52">
      <x:c r="A52" s="65"/>
      <x:c r="B52" s="11"/>
      <x:c r="C52" s="11"/>
      <x:c r="D52" s="11"/>
      <x:c r="E52" s="11"/>
      <x:c r="F52" s="11"/>
      <x:c r="G52" s="66"/>
      <x:c r="H52" s="66"/>
      <x:c r="I52" s="11"/>
      <x:c r="J52" s="11"/>
      <x:c r="K52" s="11"/>
      <x:c r="L52" s="11"/>
      <x:c r="M52" s="11"/>
      <x:c r="N52" s="70" t="str">
        <x:f>IF(B52="","",SUMIFS($G$5:$G$204,$B$5:$B$204,B52)-SUMIFS($H$5:$H$204,$B$5:$B$204,B52))</x:f>
      </x:c>
      <x:c r="O52" s="11"/>
      <x:c r="P52" s="2"/>
      <x:c r="Q52" s="2"/>
    </x:row>
    <x:row r="53">
      <x:c r="A53" s="65"/>
      <x:c r="B53" s="11"/>
      <x:c r="C53" s="11"/>
      <x:c r="D53" s="11"/>
      <x:c r="E53" s="11"/>
      <x:c r="F53" s="11"/>
      <x:c r="G53" s="66"/>
      <x:c r="H53" s="66"/>
      <x:c r="I53" s="11"/>
      <x:c r="J53" s="11"/>
      <x:c r="K53" s="11"/>
      <x:c r="L53" s="11"/>
      <x:c r="M53" s="11"/>
      <x:c r="N53" s="70" t="str">
        <x:f>IF(B53="","",SUMIFS($G$5:$G$204,$B$5:$B$204,B53)-SUMIFS($H$5:$H$204,$B$5:$B$204,B53))</x:f>
      </x:c>
      <x:c r="O53" s="11"/>
      <x:c r="P53" s="2"/>
      <x:c r="Q53" s="2"/>
    </x:row>
    <x:row r="54">
      <x:c r="A54" s="65"/>
      <x:c r="B54" s="11"/>
      <x:c r="C54" s="11"/>
      <x:c r="D54" s="11"/>
      <x:c r="E54" s="11"/>
      <x:c r="F54" s="11"/>
      <x:c r="G54" s="66"/>
      <x:c r="H54" s="66"/>
      <x:c r="I54" s="11"/>
      <x:c r="J54" s="11"/>
      <x:c r="K54" s="11"/>
      <x:c r="L54" s="11"/>
      <x:c r="M54" s="11"/>
      <x:c r="N54" s="70" t="str">
        <x:f>IF(B54="","",SUMIFS($G$5:$G$204,$B$5:$B$204,B54)-SUMIFS($H$5:$H$204,$B$5:$B$204,B54))</x:f>
      </x:c>
      <x:c r="O54" s="11"/>
      <x:c r="P54" s="2"/>
      <x:c r="Q54" s="2"/>
    </x:row>
    <x:row r="55">
      <x:c r="A55" s="65"/>
      <x:c r="B55" s="11"/>
      <x:c r="C55" s="11"/>
      <x:c r="D55" s="11"/>
      <x:c r="E55" s="11"/>
      <x:c r="F55" s="11"/>
      <x:c r="G55" s="66"/>
      <x:c r="H55" s="66"/>
      <x:c r="I55" s="11"/>
      <x:c r="J55" s="11"/>
      <x:c r="K55" s="11"/>
      <x:c r="L55" s="11"/>
      <x:c r="M55" s="11"/>
      <x:c r="N55" s="70" t="str">
        <x:f>IF(B55="","",SUMIFS($G$5:$G$204,$B$5:$B$204,B55)-SUMIFS($H$5:$H$204,$B$5:$B$204,B55))</x:f>
      </x:c>
      <x:c r="O55" s="11"/>
      <x:c r="P55" s="2"/>
      <x:c r="Q55" s="2"/>
    </x:row>
    <x:row r="56">
      <x:c r="A56" s="65"/>
      <x:c r="B56" s="11"/>
      <x:c r="C56" s="11"/>
      <x:c r="D56" s="11"/>
      <x:c r="E56" s="11"/>
      <x:c r="F56" s="11"/>
      <x:c r="G56" s="66"/>
      <x:c r="H56" s="66"/>
      <x:c r="I56" s="11"/>
      <x:c r="J56" s="11"/>
      <x:c r="K56" s="11"/>
      <x:c r="L56" s="11"/>
      <x:c r="M56" s="11"/>
      <x:c r="N56" s="70" t="str">
        <x:f>IF(B56="","",SUMIFS($G$5:$G$204,$B$5:$B$204,B56)-SUMIFS($H$5:$H$204,$B$5:$B$204,B56))</x:f>
      </x:c>
      <x:c r="O56" s="11"/>
      <x:c r="P56" s="2"/>
      <x:c r="Q56" s="2"/>
    </x:row>
    <x:row r="57">
      <x:c r="A57" s="65"/>
      <x:c r="B57" s="11"/>
      <x:c r="C57" s="11"/>
      <x:c r="D57" s="11"/>
      <x:c r="E57" s="11"/>
      <x:c r="F57" s="11"/>
      <x:c r="G57" s="66"/>
      <x:c r="H57" s="66"/>
      <x:c r="I57" s="11"/>
      <x:c r="J57" s="11"/>
      <x:c r="K57" s="11"/>
      <x:c r="L57" s="11"/>
      <x:c r="M57" s="11"/>
      <x:c r="N57" s="70" t="str">
        <x:f>IF(B57="","",SUMIFS($G$5:$G$204,$B$5:$B$204,B57)-SUMIFS($H$5:$H$204,$B$5:$B$204,B57))</x:f>
      </x:c>
      <x:c r="O57" s="11"/>
      <x:c r="P57" s="2"/>
      <x:c r="Q57" s="2"/>
    </x:row>
    <x:row r="58">
      <x:c r="A58" s="65"/>
      <x:c r="B58" s="11"/>
      <x:c r="C58" s="11"/>
      <x:c r="D58" s="11"/>
      <x:c r="E58" s="11"/>
      <x:c r="F58" s="11"/>
      <x:c r="G58" s="66"/>
      <x:c r="H58" s="66"/>
      <x:c r="I58" s="11"/>
      <x:c r="J58" s="11"/>
      <x:c r="K58" s="11"/>
      <x:c r="L58" s="11"/>
      <x:c r="M58" s="11"/>
      <x:c r="N58" s="70" t="str">
        <x:f>IF(B58="","",SUMIFS($G$5:$G$204,$B$5:$B$204,B58)-SUMIFS($H$5:$H$204,$B$5:$B$204,B58))</x:f>
      </x:c>
      <x:c r="O58" s="11"/>
      <x:c r="P58" s="2"/>
      <x:c r="Q58" s="2"/>
    </x:row>
    <x:row r="59">
      <x:c r="A59" s="65"/>
      <x:c r="B59" s="11"/>
      <x:c r="C59" s="11"/>
      <x:c r="D59" s="11"/>
      <x:c r="E59" s="11"/>
      <x:c r="F59" s="11"/>
      <x:c r="G59" s="66"/>
      <x:c r="H59" s="66"/>
      <x:c r="I59" s="11"/>
      <x:c r="J59" s="11"/>
      <x:c r="K59" s="11"/>
      <x:c r="L59" s="11"/>
      <x:c r="M59" s="11"/>
      <x:c r="N59" s="70" t="str">
        <x:f>IF(B59="","",SUMIFS($G$5:$G$204,$B$5:$B$204,B59)-SUMIFS($H$5:$H$204,$B$5:$B$204,B59))</x:f>
      </x:c>
      <x:c r="O59" s="11"/>
      <x:c r="P59" s="2"/>
      <x:c r="Q59" s="2"/>
    </x:row>
    <x:row r="60">
      <x:c r="A60" s="65"/>
      <x:c r="B60" s="11"/>
      <x:c r="C60" s="11"/>
      <x:c r="D60" s="11"/>
      <x:c r="E60" s="11"/>
      <x:c r="F60" s="11"/>
      <x:c r="G60" s="66"/>
      <x:c r="H60" s="66"/>
      <x:c r="I60" s="11"/>
      <x:c r="J60" s="11"/>
      <x:c r="K60" s="11"/>
      <x:c r="L60" s="11"/>
      <x:c r="M60" s="11"/>
      <x:c r="N60" s="70" t="str">
        <x:f>IF(B60="","",SUMIFS($G$5:$G$204,$B$5:$B$204,B60)-SUMIFS($H$5:$H$204,$B$5:$B$204,B60))</x:f>
      </x:c>
      <x:c r="O60" s="11"/>
      <x:c r="P60" s="2"/>
      <x:c r="Q60" s="2"/>
    </x:row>
    <x:row r="61">
      <x:c r="A61" s="65"/>
      <x:c r="B61" s="11"/>
      <x:c r="C61" s="11"/>
      <x:c r="D61" s="11"/>
      <x:c r="E61" s="11"/>
      <x:c r="F61" s="11"/>
      <x:c r="G61" s="66"/>
      <x:c r="H61" s="66"/>
      <x:c r="I61" s="11"/>
      <x:c r="J61" s="11"/>
      <x:c r="K61" s="11"/>
      <x:c r="L61" s="11"/>
      <x:c r="M61" s="11"/>
      <x:c r="N61" s="70" t="str">
        <x:f>IF(B61="","",SUMIFS($G$5:$G$204,$B$5:$B$204,B61)-SUMIFS($H$5:$H$204,$B$5:$B$204,B61))</x:f>
      </x:c>
      <x:c r="O61" s="11"/>
      <x:c r="P61" s="2"/>
      <x:c r="Q61" s="2"/>
    </x:row>
    <x:row r="62">
      <x:c r="A62" s="65"/>
      <x:c r="B62" s="11"/>
      <x:c r="C62" s="11"/>
      <x:c r="D62" s="11"/>
      <x:c r="E62" s="11"/>
      <x:c r="F62" s="11"/>
      <x:c r="G62" s="66"/>
      <x:c r="H62" s="66"/>
      <x:c r="I62" s="11"/>
      <x:c r="J62" s="11"/>
      <x:c r="K62" s="11"/>
      <x:c r="L62" s="11"/>
      <x:c r="M62" s="11"/>
      <x:c r="N62" s="70" t="str">
        <x:f>IF(B62="","",SUMIFS($G$5:$G$204,$B$5:$B$204,B62)-SUMIFS($H$5:$H$204,$B$5:$B$204,B62))</x:f>
      </x:c>
      <x:c r="O62" s="11"/>
      <x:c r="P62" s="2"/>
      <x:c r="Q62" s="2"/>
    </x:row>
    <x:row r="63">
      <x:c r="A63" s="65"/>
      <x:c r="B63" s="11"/>
      <x:c r="C63" s="11"/>
      <x:c r="D63" s="11"/>
      <x:c r="E63" s="11"/>
      <x:c r="F63" s="11"/>
      <x:c r="G63" s="66"/>
      <x:c r="H63" s="66"/>
      <x:c r="I63" s="11"/>
      <x:c r="J63" s="11"/>
      <x:c r="K63" s="11"/>
      <x:c r="L63" s="11"/>
      <x:c r="M63" s="11"/>
      <x:c r="N63" s="70" t="str">
        <x:f>IF(B63="","",SUMIFS($G$5:$G$204,$B$5:$B$204,B63)-SUMIFS($H$5:$H$204,$B$5:$B$204,B63))</x:f>
      </x:c>
      <x:c r="O63" s="11"/>
      <x:c r="P63" s="2"/>
      <x:c r="Q63" s="2"/>
    </x:row>
    <x:row r="64">
      <x:c r="A64" s="65"/>
      <x:c r="B64" s="11"/>
      <x:c r="C64" s="11"/>
      <x:c r="D64" s="11"/>
      <x:c r="E64" s="11"/>
      <x:c r="F64" s="11"/>
      <x:c r="G64" s="66"/>
      <x:c r="H64" s="66"/>
      <x:c r="I64" s="11"/>
      <x:c r="J64" s="11"/>
      <x:c r="K64" s="11"/>
      <x:c r="L64" s="11"/>
      <x:c r="M64" s="11"/>
      <x:c r="N64" s="70" t="str">
        <x:f>IF(B64="","",SUMIFS($G$5:$G$204,$B$5:$B$204,B64)-SUMIFS($H$5:$H$204,$B$5:$B$204,B64))</x:f>
      </x:c>
      <x:c r="O64" s="11"/>
      <x:c r="P64" s="2"/>
      <x:c r="Q64" s="2"/>
    </x:row>
    <x:row r="65">
      <x:c r="A65" s="65"/>
      <x:c r="B65" s="11"/>
      <x:c r="C65" s="11"/>
      <x:c r="D65" s="11"/>
      <x:c r="E65" s="11"/>
      <x:c r="F65" s="11"/>
      <x:c r="G65" s="66"/>
      <x:c r="H65" s="66"/>
      <x:c r="I65" s="11"/>
      <x:c r="J65" s="11"/>
      <x:c r="K65" s="11"/>
      <x:c r="L65" s="11"/>
      <x:c r="M65" s="11"/>
      <x:c r="N65" s="70" t="str">
        <x:f>IF(B65="","",SUMIFS($G$5:$G$204,$B$5:$B$204,B65)-SUMIFS($H$5:$H$204,$B$5:$B$204,B65))</x:f>
      </x:c>
      <x:c r="O65" s="11"/>
      <x:c r="P65" s="2"/>
      <x:c r="Q65" s="2"/>
    </x:row>
    <x:row r="66">
      <x:c r="A66" s="65"/>
      <x:c r="B66" s="11"/>
      <x:c r="C66" s="11"/>
      <x:c r="D66" s="11"/>
      <x:c r="E66" s="11"/>
      <x:c r="F66" s="11"/>
      <x:c r="G66" s="66"/>
      <x:c r="H66" s="66"/>
      <x:c r="I66" s="11"/>
      <x:c r="J66" s="11"/>
      <x:c r="K66" s="11"/>
      <x:c r="L66" s="11"/>
      <x:c r="M66" s="11"/>
      <x:c r="N66" s="70" t="str">
        <x:f>IF(B66="","",SUMIFS($G$5:$G$204,$B$5:$B$204,B66)-SUMIFS($H$5:$H$204,$B$5:$B$204,B66))</x:f>
      </x:c>
      <x:c r="O66" s="11"/>
      <x:c r="P66" s="2"/>
      <x:c r="Q66" s="2"/>
    </x:row>
    <x:row r="67">
      <x:c r="A67" s="65"/>
      <x:c r="B67" s="11"/>
      <x:c r="C67" s="11"/>
      <x:c r="D67" s="11"/>
      <x:c r="E67" s="11"/>
      <x:c r="F67" s="11"/>
      <x:c r="G67" s="66"/>
      <x:c r="H67" s="66"/>
      <x:c r="I67" s="11"/>
      <x:c r="J67" s="11"/>
      <x:c r="K67" s="11"/>
      <x:c r="L67" s="11"/>
      <x:c r="M67" s="11"/>
      <x:c r="N67" s="70" t="str">
        <x:f>IF(B67="","",SUMIFS($G$5:$G$204,$B$5:$B$204,B67)-SUMIFS($H$5:$H$204,$B$5:$B$204,B67))</x:f>
      </x:c>
      <x:c r="O67" s="11"/>
      <x:c r="P67" s="2"/>
      <x:c r="Q67" s="2"/>
    </x:row>
    <x:row r="68">
      <x:c r="A68" s="65"/>
      <x:c r="B68" s="11"/>
      <x:c r="C68" s="11"/>
      <x:c r="D68" s="11"/>
      <x:c r="E68" s="11"/>
      <x:c r="F68" s="11"/>
      <x:c r="G68" s="66"/>
      <x:c r="H68" s="66"/>
      <x:c r="I68" s="11"/>
      <x:c r="J68" s="11"/>
      <x:c r="K68" s="11"/>
      <x:c r="L68" s="11"/>
      <x:c r="M68" s="11"/>
      <x:c r="N68" s="70" t="str">
        <x:f>IF(B68="","",SUMIFS($G$5:$G$204,$B$5:$B$204,B68)-SUMIFS($H$5:$H$204,$B$5:$B$204,B68))</x:f>
      </x:c>
      <x:c r="O68" s="11"/>
      <x:c r="P68" s="2"/>
      <x:c r="Q68" s="2"/>
    </x:row>
    <x:row r="69">
      <x:c r="A69" s="65"/>
      <x:c r="B69" s="11"/>
      <x:c r="C69" s="11"/>
      <x:c r="D69" s="11"/>
      <x:c r="E69" s="11"/>
      <x:c r="F69" s="11"/>
      <x:c r="G69" s="66"/>
      <x:c r="H69" s="66"/>
      <x:c r="I69" s="11"/>
      <x:c r="J69" s="11"/>
      <x:c r="K69" s="11"/>
      <x:c r="L69" s="11"/>
      <x:c r="M69" s="11"/>
      <x:c r="N69" s="70" t="str">
        <x:f>IF(B69="","",SUMIFS($G$5:$G$204,$B$5:$B$204,B69)-SUMIFS($H$5:$H$204,$B$5:$B$204,B69))</x:f>
      </x:c>
      <x:c r="O69" s="11"/>
      <x:c r="P69" s="2"/>
      <x:c r="Q69" s="2"/>
    </x:row>
    <x:row r="70">
      <x:c r="A70" s="65"/>
      <x:c r="B70" s="11"/>
      <x:c r="C70" s="11"/>
      <x:c r="D70" s="11"/>
      <x:c r="E70" s="11"/>
      <x:c r="F70" s="11"/>
      <x:c r="G70" s="66"/>
      <x:c r="H70" s="66"/>
      <x:c r="I70" s="11"/>
      <x:c r="J70" s="11"/>
      <x:c r="K70" s="11"/>
      <x:c r="L70" s="11"/>
      <x:c r="M70" s="11"/>
      <x:c r="N70" s="70" t="str">
        <x:f>IF(B70="","",SUMIFS($G$5:$G$204,$B$5:$B$204,B70)-SUMIFS($H$5:$H$204,$B$5:$B$204,B70))</x:f>
      </x:c>
      <x:c r="O70" s="11"/>
      <x:c r="P70" s="2"/>
      <x:c r="Q70" s="2"/>
    </x:row>
    <x:row r="71">
      <x:c r="A71" s="65"/>
      <x:c r="B71" s="11"/>
      <x:c r="C71" s="11"/>
      <x:c r="D71" s="11"/>
      <x:c r="E71" s="11"/>
      <x:c r="F71" s="11"/>
      <x:c r="G71" s="66"/>
      <x:c r="H71" s="66"/>
      <x:c r="I71" s="11"/>
      <x:c r="J71" s="11"/>
      <x:c r="K71" s="11"/>
      <x:c r="L71" s="11"/>
      <x:c r="M71" s="11"/>
      <x:c r="N71" s="70" t="str">
        <x:f>IF(B71="","",SUMIFS($G$5:$G$204,$B$5:$B$204,B71)-SUMIFS($H$5:$H$204,$B$5:$B$204,B71))</x:f>
      </x:c>
      <x:c r="O71" s="11"/>
      <x:c r="P71" s="2"/>
      <x:c r="Q71" s="2"/>
    </x:row>
    <x:row r="72">
      <x:c r="A72" s="65"/>
      <x:c r="B72" s="11"/>
      <x:c r="C72" s="11"/>
      <x:c r="D72" s="11"/>
      <x:c r="E72" s="11"/>
      <x:c r="F72" s="11"/>
      <x:c r="G72" s="66"/>
      <x:c r="H72" s="66"/>
      <x:c r="I72" s="11"/>
      <x:c r="J72" s="11"/>
      <x:c r="K72" s="11"/>
      <x:c r="L72" s="11"/>
      <x:c r="M72" s="11"/>
      <x:c r="N72" s="70" t="str">
        <x:f>IF(B72="","",SUMIFS($G$5:$G$204,$B$5:$B$204,B72)-SUMIFS($H$5:$H$204,$B$5:$B$204,B72))</x:f>
      </x:c>
      <x:c r="O72" s="11"/>
      <x:c r="P72" s="2"/>
      <x:c r="Q72" s="2"/>
    </x:row>
    <x:row r="73">
      <x:c r="A73" s="65"/>
      <x:c r="B73" s="11"/>
      <x:c r="C73" s="11"/>
      <x:c r="D73" s="11"/>
      <x:c r="E73" s="11"/>
      <x:c r="F73" s="11"/>
      <x:c r="G73" s="66"/>
      <x:c r="H73" s="66"/>
      <x:c r="I73" s="11"/>
      <x:c r="J73" s="11"/>
      <x:c r="K73" s="11"/>
      <x:c r="L73" s="11"/>
      <x:c r="M73" s="11"/>
      <x:c r="N73" s="70" t="str">
        <x:f>IF(B73="","",SUMIFS($G$5:$G$204,$B$5:$B$204,B73)-SUMIFS($H$5:$H$204,$B$5:$B$204,B73))</x:f>
      </x:c>
      <x:c r="O73" s="11"/>
      <x:c r="P73" s="2"/>
      <x:c r="Q73" s="2"/>
    </x:row>
    <x:row r="74">
      <x:c r="A74" s="65"/>
      <x:c r="B74" s="11"/>
      <x:c r="C74" s="11"/>
      <x:c r="D74" s="11"/>
      <x:c r="E74" s="11"/>
      <x:c r="F74" s="11"/>
      <x:c r="G74" s="66"/>
      <x:c r="H74" s="66"/>
      <x:c r="I74" s="11"/>
      <x:c r="J74" s="11"/>
      <x:c r="K74" s="11"/>
      <x:c r="L74" s="11"/>
      <x:c r="M74" s="11"/>
      <x:c r="N74" s="70" t="str">
        <x:f>IF(B74="","",SUMIFS($G$5:$G$204,$B$5:$B$204,B74)-SUMIFS($H$5:$H$204,$B$5:$B$204,B74))</x:f>
      </x:c>
      <x:c r="O74" s="11"/>
      <x:c r="P74" s="2"/>
      <x:c r="Q74" s="2"/>
    </x:row>
    <x:row r="75">
      <x:c r="A75" s="65"/>
      <x:c r="B75" s="11"/>
      <x:c r="C75" s="11"/>
      <x:c r="D75" s="11"/>
      <x:c r="E75" s="11"/>
      <x:c r="F75" s="11"/>
      <x:c r="G75" s="66"/>
      <x:c r="H75" s="66"/>
      <x:c r="I75" s="11"/>
      <x:c r="J75" s="11"/>
      <x:c r="K75" s="11"/>
      <x:c r="L75" s="11"/>
      <x:c r="M75" s="11"/>
      <x:c r="N75" s="70" t="str">
        <x:f>IF(B75="","",SUMIFS($G$5:$G$204,$B$5:$B$204,B75)-SUMIFS($H$5:$H$204,$B$5:$B$204,B75))</x:f>
      </x:c>
      <x:c r="O75" s="11"/>
      <x:c r="P75" s="2"/>
      <x:c r="Q75" s="2"/>
    </x:row>
    <x:row r="76">
      <x:c r="A76" s="65"/>
      <x:c r="B76" s="11"/>
      <x:c r="C76" s="11"/>
      <x:c r="D76" s="11"/>
      <x:c r="E76" s="11"/>
      <x:c r="F76" s="11"/>
      <x:c r="G76" s="66"/>
      <x:c r="H76" s="66"/>
      <x:c r="I76" s="11"/>
      <x:c r="J76" s="11"/>
      <x:c r="K76" s="11"/>
      <x:c r="L76" s="11"/>
      <x:c r="M76" s="11"/>
      <x:c r="N76" s="70" t="str">
        <x:f>IF(B76="","",SUMIFS($G$5:$G$204,$B$5:$B$204,B76)-SUMIFS($H$5:$H$204,$B$5:$B$204,B76))</x:f>
      </x:c>
      <x:c r="O76" s="11"/>
      <x:c r="P76" s="2"/>
      <x:c r="Q76" s="2"/>
    </x:row>
    <x:row r="77">
      <x:c r="A77" s="65"/>
      <x:c r="B77" s="11"/>
      <x:c r="C77" s="11"/>
      <x:c r="D77" s="11"/>
      <x:c r="E77" s="11"/>
      <x:c r="F77" s="11"/>
      <x:c r="G77" s="66"/>
      <x:c r="H77" s="66"/>
      <x:c r="I77" s="11"/>
      <x:c r="J77" s="11"/>
      <x:c r="K77" s="11"/>
      <x:c r="L77" s="11"/>
      <x:c r="M77" s="11"/>
      <x:c r="N77" s="70" t="str">
        <x:f>IF(B77="","",SUMIFS($G$5:$G$204,$B$5:$B$204,B77)-SUMIFS($H$5:$H$204,$B$5:$B$204,B77))</x:f>
      </x:c>
      <x:c r="O77" s="11"/>
      <x:c r="P77" s="2"/>
      <x:c r="Q77" s="2"/>
    </x:row>
    <x:row r="78">
      <x:c r="A78" s="65"/>
      <x:c r="B78" s="11"/>
      <x:c r="C78" s="11"/>
      <x:c r="D78" s="11"/>
      <x:c r="E78" s="11"/>
      <x:c r="F78" s="11"/>
      <x:c r="G78" s="66"/>
      <x:c r="H78" s="66"/>
      <x:c r="I78" s="11"/>
      <x:c r="J78" s="11"/>
      <x:c r="K78" s="11"/>
      <x:c r="L78" s="11"/>
      <x:c r="M78" s="11"/>
      <x:c r="N78" s="70" t="str">
        <x:f>IF(B78="","",SUMIFS($G$5:$G$204,$B$5:$B$204,B78)-SUMIFS($H$5:$H$204,$B$5:$B$204,B78))</x:f>
      </x:c>
      <x:c r="O78" s="11"/>
      <x:c r="P78" s="2"/>
      <x:c r="Q78" s="2"/>
    </x:row>
    <x:row r="79">
      <x:c r="A79" s="65"/>
      <x:c r="B79" s="11"/>
      <x:c r="C79" s="11"/>
      <x:c r="D79" s="11"/>
      <x:c r="E79" s="11"/>
      <x:c r="F79" s="11"/>
      <x:c r="G79" s="66"/>
      <x:c r="H79" s="66"/>
      <x:c r="I79" s="11"/>
      <x:c r="J79" s="11"/>
      <x:c r="K79" s="11"/>
      <x:c r="L79" s="11"/>
      <x:c r="M79" s="11"/>
      <x:c r="N79" s="70" t="str">
        <x:f>IF(B79="","",SUMIFS($G$5:$G$204,$B$5:$B$204,B79)-SUMIFS($H$5:$H$204,$B$5:$B$204,B79))</x:f>
      </x:c>
      <x:c r="O79" s="11"/>
      <x:c r="P79" s="2"/>
      <x:c r="Q79" s="2"/>
    </x:row>
    <x:row r="80">
      <x:c r="A80" s="65"/>
      <x:c r="B80" s="11"/>
      <x:c r="C80" s="11"/>
      <x:c r="D80" s="11"/>
      <x:c r="E80" s="11"/>
      <x:c r="F80" s="11"/>
      <x:c r="G80" s="66"/>
      <x:c r="H80" s="66"/>
      <x:c r="I80" s="11"/>
      <x:c r="J80" s="11"/>
      <x:c r="K80" s="11"/>
      <x:c r="L80" s="11"/>
      <x:c r="M80" s="11"/>
      <x:c r="N80" s="70" t="str">
        <x:f>IF(B80="","",SUMIFS($G$5:$G$204,$B$5:$B$204,B80)-SUMIFS($H$5:$H$204,$B$5:$B$204,B80))</x:f>
      </x:c>
      <x:c r="O80" s="11"/>
      <x:c r="P80" s="2"/>
      <x:c r="Q80" s="2"/>
    </x:row>
    <x:row r="81">
      <x:c r="A81" s="65"/>
      <x:c r="B81" s="11"/>
      <x:c r="C81" s="11"/>
      <x:c r="D81" s="11"/>
      <x:c r="E81" s="11"/>
      <x:c r="F81" s="11"/>
      <x:c r="G81" s="66"/>
      <x:c r="H81" s="66"/>
      <x:c r="I81" s="11"/>
      <x:c r="J81" s="11"/>
      <x:c r="K81" s="11"/>
      <x:c r="L81" s="11"/>
      <x:c r="M81" s="11"/>
      <x:c r="N81" s="70" t="str">
        <x:f>IF(B81="","",SUMIFS($G$5:$G$204,$B$5:$B$204,B81)-SUMIFS($H$5:$H$204,$B$5:$B$204,B81))</x:f>
      </x:c>
      <x:c r="O81" s="11"/>
      <x:c r="P81" s="2"/>
      <x:c r="Q81" s="2"/>
    </x:row>
    <x:row r="82">
      <x:c r="A82" s="65"/>
      <x:c r="B82" s="11"/>
      <x:c r="C82" s="11"/>
      <x:c r="D82" s="11"/>
      <x:c r="E82" s="11"/>
      <x:c r="F82" s="11"/>
      <x:c r="G82" s="66"/>
      <x:c r="H82" s="66"/>
      <x:c r="I82" s="11"/>
      <x:c r="J82" s="11"/>
      <x:c r="K82" s="11"/>
      <x:c r="L82" s="11"/>
      <x:c r="M82" s="11"/>
      <x:c r="N82" s="70" t="str">
        <x:f>IF(B82="","",SUMIFS($G$5:$G$204,$B$5:$B$204,B82)-SUMIFS($H$5:$H$204,$B$5:$B$204,B82))</x:f>
      </x:c>
      <x:c r="O82" s="11"/>
      <x:c r="P82" s="2"/>
      <x:c r="Q82" s="2"/>
    </x:row>
    <x:row r="83">
      <x:c r="A83" s="65"/>
      <x:c r="B83" s="11"/>
      <x:c r="C83" s="11"/>
      <x:c r="D83" s="11"/>
      <x:c r="E83" s="11"/>
      <x:c r="F83" s="11"/>
      <x:c r="G83" s="66"/>
      <x:c r="H83" s="66"/>
      <x:c r="I83" s="11"/>
      <x:c r="J83" s="11"/>
      <x:c r="K83" s="11"/>
      <x:c r="L83" s="11"/>
      <x:c r="M83" s="11"/>
      <x:c r="N83" s="70" t="str">
        <x:f>IF(B83="","",SUMIFS($G$5:$G$204,$B$5:$B$204,B83)-SUMIFS($H$5:$H$204,$B$5:$B$204,B83))</x:f>
      </x:c>
      <x:c r="O83" s="11"/>
      <x:c r="P83" s="2"/>
      <x:c r="Q83" s="2"/>
    </x:row>
    <x:row r="84">
      <x:c r="A84" s="65"/>
      <x:c r="B84" s="11"/>
      <x:c r="C84" s="11"/>
      <x:c r="D84" s="11"/>
      <x:c r="E84" s="11"/>
      <x:c r="F84" s="11"/>
      <x:c r="G84" s="66"/>
      <x:c r="H84" s="66"/>
      <x:c r="I84" s="11"/>
      <x:c r="J84" s="11"/>
      <x:c r="K84" s="11"/>
      <x:c r="L84" s="11"/>
      <x:c r="M84" s="11"/>
      <x:c r="N84" s="70" t="str">
        <x:f>IF(B84="","",SUMIFS($G$5:$G$204,$B$5:$B$204,B84)-SUMIFS($H$5:$H$204,$B$5:$B$204,B84))</x:f>
      </x:c>
      <x:c r="O84" s="11"/>
      <x:c r="P84" s="2"/>
      <x:c r="Q84" s="2"/>
    </x:row>
    <x:row r="85">
      <x:c r="A85" s="65"/>
      <x:c r="B85" s="11"/>
      <x:c r="C85" s="11"/>
      <x:c r="D85" s="11"/>
      <x:c r="E85" s="11"/>
      <x:c r="F85" s="11"/>
      <x:c r="G85" s="66"/>
      <x:c r="H85" s="66"/>
      <x:c r="I85" s="11"/>
      <x:c r="J85" s="11"/>
      <x:c r="K85" s="11"/>
      <x:c r="L85" s="11"/>
      <x:c r="M85" s="11"/>
      <x:c r="N85" s="70" t="str">
        <x:f>IF(B85="","",SUMIFS($G$5:$G$204,$B$5:$B$204,B85)-SUMIFS($H$5:$H$204,$B$5:$B$204,B85))</x:f>
      </x:c>
      <x:c r="O85" s="11"/>
      <x:c r="P85" s="2"/>
      <x:c r="Q85" s="2"/>
    </x:row>
    <x:row r="86">
      <x:c r="A86" s="65"/>
      <x:c r="B86" s="11"/>
      <x:c r="C86" s="11"/>
      <x:c r="D86" s="11"/>
      <x:c r="E86" s="11"/>
      <x:c r="F86" s="11"/>
      <x:c r="G86" s="66"/>
      <x:c r="H86" s="66"/>
      <x:c r="I86" s="11"/>
      <x:c r="J86" s="11"/>
      <x:c r="K86" s="11"/>
      <x:c r="L86" s="11"/>
      <x:c r="M86" s="11"/>
      <x:c r="N86" s="70" t="str">
        <x:f>IF(B86="","",SUMIFS($G$5:$G$204,$B$5:$B$204,B86)-SUMIFS($H$5:$H$204,$B$5:$B$204,B86))</x:f>
      </x:c>
      <x:c r="O86" s="11"/>
      <x:c r="P86" s="2"/>
      <x:c r="Q86" s="2"/>
    </x:row>
    <x:row r="87">
      <x:c r="A87" s="65"/>
      <x:c r="B87" s="11"/>
      <x:c r="C87" s="11"/>
      <x:c r="D87" s="11"/>
      <x:c r="E87" s="11"/>
      <x:c r="F87" s="11"/>
      <x:c r="G87" s="66"/>
      <x:c r="H87" s="66"/>
      <x:c r="I87" s="11"/>
      <x:c r="J87" s="11"/>
      <x:c r="K87" s="11"/>
      <x:c r="L87" s="11"/>
      <x:c r="M87" s="11"/>
      <x:c r="N87" s="70" t="str">
        <x:f>IF(B87="","",SUMIFS($G$5:$G$204,$B$5:$B$204,B87)-SUMIFS($H$5:$H$204,$B$5:$B$204,B87))</x:f>
      </x:c>
      <x:c r="O87" s="11"/>
      <x:c r="P87" s="2"/>
      <x:c r="Q87" s="2"/>
    </x:row>
    <x:row r="88">
      <x:c r="A88" s="65"/>
      <x:c r="B88" s="11"/>
      <x:c r="C88" s="11"/>
      <x:c r="D88" s="11"/>
      <x:c r="E88" s="11"/>
      <x:c r="F88" s="11"/>
      <x:c r="G88" s="66"/>
      <x:c r="H88" s="66"/>
      <x:c r="I88" s="11"/>
      <x:c r="J88" s="11"/>
      <x:c r="K88" s="11"/>
      <x:c r="L88" s="11"/>
      <x:c r="M88" s="11"/>
      <x:c r="N88" s="70" t="str">
        <x:f>IF(B88="","",SUMIFS($G$5:$G$204,$B$5:$B$204,B88)-SUMIFS($H$5:$H$204,$B$5:$B$204,B88))</x:f>
      </x:c>
      <x:c r="O88" s="11"/>
      <x:c r="P88" s="2"/>
      <x:c r="Q88" s="2"/>
    </x:row>
    <x:row r="89">
      <x:c r="A89" s="65"/>
      <x:c r="B89" s="11"/>
      <x:c r="C89" s="11"/>
      <x:c r="D89" s="11"/>
      <x:c r="E89" s="11"/>
      <x:c r="F89" s="11"/>
      <x:c r="G89" s="66"/>
      <x:c r="H89" s="66"/>
      <x:c r="I89" s="11"/>
      <x:c r="J89" s="11"/>
      <x:c r="K89" s="11"/>
      <x:c r="L89" s="11"/>
      <x:c r="M89" s="11"/>
      <x:c r="N89" s="70" t="str">
        <x:f>IF(B89="","",SUMIFS($G$5:$G$204,$B$5:$B$204,B89)-SUMIFS($H$5:$H$204,$B$5:$B$204,B89))</x:f>
      </x:c>
      <x:c r="O89" s="11"/>
      <x:c r="P89" s="2"/>
      <x:c r="Q89" s="2"/>
    </x:row>
    <x:row r="90">
      <x:c r="A90" s="65"/>
      <x:c r="B90" s="11"/>
      <x:c r="C90" s="11"/>
      <x:c r="D90" s="11"/>
      <x:c r="E90" s="11"/>
      <x:c r="F90" s="11"/>
      <x:c r="G90" s="66"/>
      <x:c r="H90" s="66"/>
      <x:c r="I90" s="11"/>
      <x:c r="J90" s="11"/>
      <x:c r="K90" s="11"/>
      <x:c r="L90" s="11"/>
      <x:c r="M90" s="11"/>
      <x:c r="N90" s="70" t="str">
        <x:f>IF(B90="","",SUMIFS($G$5:$G$204,$B$5:$B$204,B90)-SUMIFS($H$5:$H$204,$B$5:$B$204,B90))</x:f>
      </x:c>
      <x:c r="O90" s="11"/>
      <x:c r="P90" s="2"/>
      <x:c r="Q90" s="2"/>
    </x:row>
    <x:row r="91">
      <x:c r="A91" s="65"/>
      <x:c r="B91" s="11"/>
      <x:c r="C91" s="11"/>
      <x:c r="D91" s="11"/>
      <x:c r="E91" s="11"/>
      <x:c r="F91" s="11"/>
      <x:c r="G91" s="66"/>
      <x:c r="H91" s="66"/>
      <x:c r="I91" s="11"/>
      <x:c r="J91" s="11"/>
      <x:c r="K91" s="11"/>
      <x:c r="L91" s="11"/>
      <x:c r="M91" s="11"/>
      <x:c r="N91" s="70" t="str">
        <x:f>IF(B91="","",SUMIFS($G$5:$G$204,$B$5:$B$204,B91)-SUMIFS($H$5:$H$204,$B$5:$B$204,B91))</x:f>
      </x:c>
      <x:c r="O91" s="11"/>
      <x:c r="P91" s="2"/>
      <x:c r="Q91" s="2"/>
    </x:row>
    <x:row r="92">
      <x:c r="A92" s="65"/>
      <x:c r="B92" s="11"/>
      <x:c r="C92" s="11"/>
      <x:c r="D92" s="11"/>
      <x:c r="E92" s="11"/>
      <x:c r="F92" s="11"/>
      <x:c r="G92" s="66"/>
      <x:c r="H92" s="66"/>
      <x:c r="I92" s="11"/>
      <x:c r="J92" s="11"/>
      <x:c r="K92" s="11"/>
      <x:c r="L92" s="11"/>
      <x:c r="M92" s="11"/>
      <x:c r="N92" s="70" t="str">
        <x:f>IF(B92="","",SUMIFS($G$5:$G$204,$B$5:$B$204,B92)-SUMIFS($H$5:$H$204,$B$5:$B$204,B92))</x:f>
      </x:c>
      <x:c r="O92" s="11"/>
      <x:c r="P92" s="2"/>
      <x:c r="Q92" s="2"/>
    </x:row>
    <x:row r="93">
      <x:c r="A93" s="65"/>
      <x:c r="B93" s="11"/>
      <x:c r="C93" s="11"/>
      <x:c r="D93" s="11"/>
      <x:c r="E93" s="11"/>
      <x:c r="F93" s="11"/>
      <x:c r="G93" s="66"/>
      <x:c r="H93" s="66"/>
      <x:c r="I93" s="11"/>
      <x:c r="J93" s="11"/>
      <x:c r="K93" s="11"/>
      <x:c r="L93" s="11"/>
      <x:c r="M93" s="11"/>
      <x:c r="N93" s="70" t="str">
        <x:f>IF(B93="","",SUMIFS($G$5:$G$204,$B$5:$B$204,B93)-SUMIFS($H$5:$H$204,$B$5:$B$204,B93))</x:f>
      </x:c>
      <x:c r="O93" s="11"/>
      <x:c r="P93" s="2"/>
      <x:c r="Q93" s="2"/>
    </x:row>
    <x:row r="94">
      <x:c r="A94" s="65"/>
      <x:c r="B94" s="11"/>
      <x:c r="C94" s="11"/>
      <x:c r="D94" s="11"/>
      <x:c r="E94" s="11"/>
      <x:c r="F94" s="11"/>
      <x:c r="G94" s="66"/>
      <x:c r="H94" s="66"/>
      <x:c r="I94" s="11"/>
      <x:c r="J94" s="11"/>
      <x:c r="K94" s="11"/>
      <x:c r="L94" s="11"/>
      <x:c r="M94" s="11"/>
      <x:c r="N94" s="70" t="str">
        <x:f>IF(B94="","",SUMIFS($G$5:$G$204,$B$5:$B$204,B94)-SUMIFS($H$5:$H$204,$B$5:$B$204,B94))</x:f>
      </x:c>
      <x:c r="O94" s="11"/>
      <x:c r="P94" s="2"/>
      <x:c r="Q94" s="2"/>
    </x:row>
    <x:row r="95">
      <x:c r="A95" s="65"/>
      <x:c r="B95" s="11"/>
      <x:c r="C95" s="11"/>
      <x:c r="D95" s="11"/>
      <x:c r="E95" s="11"/>
      <x:c r="F95" s="11"/>
      <x:c r="G95" s="66"/>
      <x:c r="H95" s="66"/>
      <x:c r="I95" s="11"/>
      <x:c r="J95" s="11"/>
      <x:c r="K95" s="11"/>
      <x:c r="L95" s="11"/>
      <x:c r="M95" s="11"/>
      <x:c r="N95" s="70" t="str">
        <x:f>IF(B95="","",SUMIFS($G$5:$G$204,$B$5:$B$204,B95)-SUMIFS($H$5:$H$204,$B$5:$B$204,B95))</x:f>
      </x:c>
      <x:c r="O95" s="11"/>
      <x:c r="P95" s="2"/>
      <x:c r="Q95" s="2"/>
    </x:row>
    <x:row r="96">
      <x:c r="A96" s="65"/>
      <x:c r="B96" s="11"/>
      <x:c r="C96" s="11"/>
      <x:c r="D96" s="11"/>
      <x:c r="E96" s="11"/>
      <x:c r="F96" s="11"/>
      <x:c r="G96" s="66"/>
      <x:c r="H96" s="66"/>
      <x:c r="I96" s="11"/>
      <x:c r="J96" s="11"/>
      <x:c r="K96" s="11"/>
      <x:c r="L96" s="11"/>
      <x:c r="M96" s="11"/>
      <x:c r="N96" s="70" t="str">
        <x:f>IF(B96="","",SUMIFS($G$5:$G$204,$B$5:$B$204,B96)-SUMIFS($H$5:$H$204,$B$5:$B$204,B96))</x:f>
      </x:c>
      <x:c r="O96" s="11"/>
      <x:c r="P96" s="2"/>
      <x:c r="Q96" s="2"/>
    </x:row>
    <x:row r="97">
      <x:c r="A97" s="65"/>
      <x:c r="B97" s="11"/>
      <x:c r="C97" s="11"/>
      <x:c r="D97" s="11"/>
      <x:c r="E97" s="11"/>
      <x:c r="F97" s="11"/>
      <x:c r="G97" s="66"/>
      <x:c r="H97" s="66"/>
      <x:c r="I97" s="11"/>
      <x:c r="J97" s="11"/>
      <x:c r="K97" s="11"/>
      <x:c r="L97" s="11"/>
      <x:c r="M97" s="11"/>
      <x:c r="N97" s="70" t="str">
        <x:f>IF(B97="","",SUMIFS($G$5:$G$204,$B$5:$B$204,B97)-SUMIFS($H$5:$H$204,$B$5:$B$204,B97))</x:f>
      </x:c>
      <x:c r="O97" s="11"/>
      <x:c r="P97" s="2"/>
      <x:c r="Q97" s="2"/>
    </x:row>
    <x:row r="98">
      <x:c r="A98" s="65"/>
      <x:c r="B98" s="11"/>
      <x:c r="C98" s="11"/>
      <x:c r="D98" s="11"/>
      <x:c r="E98" s="11"/>
      <x:c r="F98" s="11"/>
      <x:c r="G98" s="66"/>
      <x:c r="H98" s="66"/>
      <x:c r="I98" s="11"/>
      <x:c r="J98" s="11"/>
      <x:c r="K98" s="11"/>
      <x:c r="L98" s="11"/>
      <x:c r="M98" s="11"/>
      <x:c r="N98" s="70" t="str">
        <x:f>IF(B98="","",SUMIFS($G$5:$G$204,$B$5:$B$204,B98)-SUMIFS($H$5:$H$204,$B$5:$B$204,B98))</x:f>
      </x:c>
      <x:c r="O98" s="11"/>
      <x:c r="P98" s="2"/>
      <x:c r="Q98" s="2"/>
    </x:row>
    <x:row r="99">
      <x:c r="A99" s="65"/>
      <x:c r="B99" s="11"/>
      <x:c r="C99" s="11"/>
      <x:c r="D99" s="11"/>
      <x:c r="E99" s="11"/>
      <x:c r="F99" s="11"/>
      <x:c r="G99" s="66"/>
      <x:c r="H99" s="66"/>
      <x:c r="I99" s="11"/>
      <x:c r="J99" s="11"/>
      <x:c r="K99" s="11"/>
      <x:c r="L99" s="11"/>
      <x:c r="M99" s="11"/>
      <x:c r="N99" s="70" t="str">
        <x:f>IF(B99="","",SUMIFS($G$5:$G$204,$B$5:$B$204,B99)-SUMIFS($H$5:$H$204,$B$5:$B$204,B99))</x:f>
      </x:c>
      <x:c r="O99" s="11"/>
      <x:c r="P99" s="2"/>
      <x:c r="Q99" s="2"/>
    </x:row>
    <x:row r="100">
      <x:c r="A100" s="65"/>
      <x:c r="B100" s="11"/>
      <x:c r="C100" s="11"/>
      <x:c r="D100" s="11"/>
      <x:c r="E100" s="11"/>
      <x:c r="F100" s="11"/>
      <x:c r="G100" s="66"/>
      <x:c r="H100" s="66"/>
      <x:c r="I100" s="11"/>
      <x:c r="J100" s="11"/>
      <x:c r="K100" s="11"/>
      <x:c r="L100" s="11"/>
      <x:c r="M100" s="11"/>
      <x:c r="N100" s="70" t="str">
        <x:f>IF(B100="","",SUMIFS($G$5:$G$204,$B$5:$B$204,B100)-SUMIFS($H$5:$H$204,$B$5:$B$204,B100))</x:f>
      </x:c>
      <x:c r="O100" s="11"/>
      <x:c r="P100" s="2"/>
      <x:c r="Q100" s="2"/>
    </x:row>
    <x:row r="101">
      <x:c r="A101" s="65"/>
      <x:c r="B101" s="11"/>
      <x:c r="C101" s="11"/>
      <x:c r="D101" s="11"/>
      <x:c r="E101" s="11"/>
      <x:c r="F101" s="11"/>
      <x:c r="G101" s="66"/>
      <x:c r="H101" s="66"/>
      <x:c r="I101" s="11"/>
      <x:c r="J101" s="11"/>
      <x:c r="K101" s="11"/>
      <x:c r="L101" s="11"/>
      <x:c r="M101" s="11"/>
      <x:c r="N101" s="70" t="str">
        <x:f>IF(B101="","",SUMIFS($G$5:$G$204,$B$5:$B$204,B101)-SUMIFS($H$5:$H$204,$B$5:$B$204,B101))</x:f>
      </x:c>
      <x:c r="O101" s="11"/>
      <x:c r="P101" s="2"/>
      <x:c r="Q101" s="2"/>
    </x:row>
    <x:row r="102">
      <x:c r="A102" s="65"/>
      <x:c r="B102" s="11"/>
      <x:c r="C102" s="11"/>
      <x:c r="D102" s="11"/>
      <x:c r="E102" s="11"/>
      <x:c r="F102" s="11"/>
      <x:c r="G102" s="66"/>
      <x:c r="H102" s="66"/>
      <x:c r="I102" s="11"/>
      <x:c r="J102" s="11"/>
      <x:c r="K102" s="11"/>
      <x:c r="L102" s="11"/>
      <x:c r="M102" s="11"/>
      <x:c r="N102" s="70" t="str">
        <x:f>IF(B102="","",SUMIFS($G$5:$G$204,$B$5:$B$204,B102)-SUMIFS($H$5:$H$204,$B$5:$B$204,B102))</x:f>
      </x:c>
      <x:c r="O102" s="11"/>
      <x:c r="P102" s="2"/>
      <x:c r="Q102" s="2"/>
    </x:row>
    <x:row r="103">
      <x:c r="A103" s="65"/>
      <x:c r="B103" s="11"/>
      <x:c r="C103" s="11"/>
      <x:c r="D103" s="11"/>
      <x:c r="E103" s="11"/>
      <x:c r="F103" s="11"/>
      <x:c r="G103" s="66"/>
      <x:c r="H103" s="66"/>
      <x:c r="I103" s="11"/>
      <x:c r="J103" s="11"/>
      <x:c r="K103" s="11"/>
      <x:c r="L103" s="11"/>
      <x:c r="M103" s="11"/>
      <x:c r="N103" s="70" t="str">
        <x:f>IF(B103="","",SUMIFS($G$5:$G$204,$B$5:$B$204,B103)-SUMIFS($H$5:$H$204,$B$5:$B$204,B103))</x:f>
      </x:c>
      <x:c r="O103" s="11"/>
      <x:c r="P103" s="2"/>
      <x:c r="Q103" s="2"/>
    </x:row>
    <x:row r="104">
      <x:c r="A104" s="65"/>
      <x:c r="B104" s="11"/>
      <x:c r="C104" s="11"/>
      <x:c r="D104" s="11"/>
      <x:c r="E104" s="11"/>
      <x:c r="F104" s="11"/>
      <x:c r="G104" s="66"/>
      <x:c r="H104" s="66"/>
      <x:c r="I104" s="11"/>
      <x:c r="J104" s="11"/>
      <x:c r="K104" s="11"/>
      <x:c r="L104" s="11"/>
      <x:c r="M104" s="11"/>
      <x:c r="N104" s="70" t="str">
        <x:f>IF(B104="","",SUMIFS($G$5:$G$204,$B$5:$B$204,B104)-SUMIFS($H$5:$H$204,$B$5:$B$204,B104))</x:f>
      </x:c>
      <x:c r="O104" s="11"/>
      <x:c r="P104" s="2"/>
      <x:c r="Q104" s="2"/>
    </x:row>
    <x:row r="105">
      <x:c r="A105" s="65"/>
      <x:c r="B105" s="11"/>
      <x:c r="C105" s="11"/>
      <x:c r="D105" s="11"/>
      <x:c r="E105" s="11"/>
      <x:c r="F105" s="11"/>
      <x:c r="G105" s="66"/>
      <x:c r="H105" s="66"/>
      <x:c r="I105" s="11"/>
      <x:c r="J105" s="11"/>
      <x:c r="K105" s="11"/>
      <x:c r="L105" s="11"/>
      <x:c r="M105" s="11"/>
      <x:c r="N105" s="70" t="str">
        <x:f>IF(B105="","",SUMIFS($G$5:$G$204,$B$5:$B$204,B105)-SUMIFS($H$5:$H$204,$B$5:$B$204,B105))</x:f>
      </x:c>
      <x:c r="O105" s="11"/>
      <x:c r="P105" s="2"/>
      <x:c r="Q105" s="2"/>
    </x:row>
    <x:row r="106">
      <x:c r="A106" s="65"/>
      <x:c r="B106" s="11"/>
      <x:c r="C106" s="11"/>
      <x:c r="D106" s="11"/>
      <x:c r="E106" s="11"/>
      <x:c r="F106" s="11"/>
      <x:c r="G106" s="66"/>
      <x:c r="H106" s="66"/>
      <x:c r="I106" s="11"/>
      <x:c r="J106" s="11"/>
      <x:c r="K106" s="11"/>
      <x:c r="L106" s="11"/>
      <x:c r="M106" s="11"/>
      <x:c r="N106" s="70" t="str">
        <x:f>IF(B106="","",SUMIFS($G$5:$G$204,$B$5:$B$204,B106)-SUMIFS($H$5:$H$204,$B$5:$B$204,B106))</x:f>
      </x:c>
      <x:c r="O106" s="11"/>
      <x:c r="P106" s="2"/>
      <x:c r="Q106" s="2"/>
    </x:row>
    <x:row r="107">
      <x:c r="A107" s="65"/>
      <x:c r="B107" s="11"/>
      <x:c r="C107" s="11"/>
      <x:c r="D107" s="11"/>
      <x:c r="E107" s="11"/>
      <x:c r="F107" s="11"/>
      <x:c r="G107" s="66"/>
      <x:c r="H107" s="66"/>
      <x:c r="I107" s="11"/>
      <x:c r="J107" s="11"/>
      <x:c r="K107" s="11"/>
      <x:c r="L107" s="11"/>
      <x:c r="M107" s="11"/>
      <x:c r="N107" s="70" t="str">
        <x:f>IF(B107="","",SUMIFS($G$5:$G$204,$B$5:$B$204,B107)-SUMIFS($H$5:$H$204,$B$5:$B$204,B107))</x:f>
      </x:c>
      <x:c r="O107" s="11"/>
      <x:c r="P107" s="2"/>
      <x:c r="Q107" s="2"/>
    </x:row>
    <x:row r="108">
      <x:c r="A108" s="65"/>
      <x:c r="B108" s="11"/>
      <x:c r="C108" s="11"/>
      <x:c r="D108" s="11"/>
      <x:c r="E108" s="11"/>
      <x:c r="F108" s="11"/>
      <x:c r="G108" s="66"/>
      <x:c r="H108" s="66"/>
      <x:c r="I108" s="11"/>
      <x:c r="J108" s="11"/>
      <x:c r="K108" s="11"/>
      <x:c r="L108" s="11"/>
      <x:c r="M108" s="11"/>
      <x:c r="N108" s="70" t="str">
        <x:f>IF(B108="","",SUMIFS($G$5:$G$204,$B$5:$B$204,B108)-SUMIFS($H$5:$H$204,$B$5:$B$204,B108))</x:f>
      </x:c>
      <x:c r="O108" s="11"/>
      <x:c r="P108" s="2"/>
      <x:c r="Q108" s="2"/>
    </x:row>
    <x:row r="109">
      <x:c r="A109" s="65"/>
      <x:c r="B109" s="11"/>
      <x:c r="C109" s="11"/>
      <x:c r="D109" s="11"/>
      <x:c r="E109" s="11"/>
      <x:c r="F109" s="11"/>
      <x:c r="G109" s="66"/>
      <x:c r="H109" s="66"/>
      <x:c r="I109" s="11"/>
      <x:c r="J109" s="11"/>
      <x:c r="K109" s="11"/>
      <x:c r="L109" s="11"/>
      <x:c r="M109" s="11"/>
      <x:c r="N109" s="70" t="str">
        <x:f>IF(B109="","",SUMIFS($G$5:$G$204,$B$5:$B$204,B109)-SUMIFS($H$5:$H$204,$B$5:$B$204,B109))</x:f>
      </x:c>
      <x:c r="O109" s="11"/>
      <x:c r="P109" s="2"/>
      <x:c r="Q109" s="2"/>
    </x:row>
    <x:row r="110">
      <x:c r="A110" s="65"/>
      <x:c r="B110" s="11"/>
      <x:c r="C110" s="11"/>
      <x:c r="D110" s="11"/>
      <x:c r="E110" s="11"/>
      <x:c r="F110" s="11"/>
      <x:c r="G110" s="66"/>
      <x:c r="H110" s="66"/>
      <x:c r="I110" s="11"/>
      <x:c r="J110" s="11"/>
      <x:c r="K110" s="11"/>
      <x:c r="L110" s="11"/>
      <x:c r="M110" s="11"/>
      <x:c r="N110" s="70" t="str">
        <x:f>IF(B110="","",SUMIFS($G$5:$G$204,$B$5:$B$204,B110)-SUMIFS($H$5:$H$204,$B$5:$B$204,B110))</x:f>
      </x:c>
      <x:c r="O110" s="11"/>
      <x:c r="P110" s="2"/>
      <x:c r="Q110" s="2"/>
    </x:row>
    <x:row r="111">
      <x:c r="A111" s="65"/>
      <x:c r="B111" s="11"/>
      <x:c r="C111" s="11"/>
      <x:c r="D111" s="11"/>
      <x:c r="E111" s="11"/>
      <x:c r="F111" s="11"/>
      <x:c r="G111" s="66"/>
      <x:c r="H111" s="66"/>
      <x:c r="I111" s="11"/>
      <x:c r="J111" s="11"/>
      <x:c r="K111" s="11"/>
      <x:c r="L111" s="11"/>
      <x:c r="M111" s="11"/>
      <x:c r="N111" s="70" t="str">
        <x:f>IF(B111="","",SUMIFS($G$5:$G$204,$B$5:$B$204,B111)-SUMIFS($H$5:$H$204,$B$5:$B$204,B111))</x:f>
      </x:c>
      <x:c r="O111" s="11"/>
      <x:c r="P111" s="2"/>
      <x:c r="Q111" s="2"/>
    </x:row>
    <x:row r="112">
      <x:c r="A112" s="65"/>
      <x:c r="B112" s="11"/>
      <x:c r="C112" s="11"/>
      <x:c r="D112" s="11"/>
      <x:c r="E112" s="11"/>
      <x:c r="F112" s="11"/>
      <x:c r="G112" s="66"/>
      <x:c r="H112" s="66"/>
      <x:c r="I112" s="11"/>
      <x:c r="J112" s="11"/>
      <x:c r="K112" s="11"/>
      <x:c r="L112" s="11"/>
      <x:c r="M112" s="11"/>
      <x:c r="N112" s="70" t="str">
        <x:f>IF(B112="","",SUMIFS($G$5:$G$204,$B$5:$B$204,B112)-SUMIFS($H$5:$H$204,$B$5:$B$204,B112))</x:f>
      </x:c>
      <x:c r="O112" s="11"/>
      <x:c r="P112" s="2"/>
      <x:c r="Q112" s="2"/>
    </x:row>
    <x:row r="113">
      <x:c r="A113" s="65"/>
      <x:c r="B113" s="11"/>
      <x:c r="C113" s="11"/>
      <x:c r="D113" s="11"/>
      <x:c r="E113" s="11"/>
      <x:c r="F113" s="11"/>
      <x:c r="G113" s="66"/>
      <x:c r="H113" s="66"/>
      <x:c r="I113" s="11"/>
      <x:c r="J113" s="11"/>
      <x:c r="K113" s="11"/>
      <x:c r="L113" s="11"/>
      <x:c r="M113" s="11"/>
      <x:c r="N113" s="70" t="str">
        <x:f>IF(B113="","",SUMIFS($G$5:$G$204,$B$5:$B$204,B113)-SUMIFS($H$5:$H$204,$B$5:$B$204,B113))</x:f>
      </x:c>
      <x:c r="O113" s="11"/>
      <x:c r="P113" s="2"/>
      <x:c r="Q113" s="2"/>
    </x:row>
    <x:row r="114">
      <x:c r="A114" s="65"/>
      <x:c r="B114" s="11"/>
      <x:c r="C114" s="11"/>
      <x:c r="D114" s="11"/>
      <x:c r="E114" s="11"/>
      <x:c r="F114" s="11"/>
      <x:c r="G114" s="66"/>
      <x:c r="H114" s="66"/>
      <x:c r="I114" s="11"/>
      <x:c r="J114" s="11"/>
      <x:c r="K114" s="11"/>
      <x:c r="L114" s="11"/>
      <x:c r="M114" s="11"/>
      <x:c r="N114" s="70" t="str">
        <x:f>IF(B114="","",SUMIFS($G$5:$G$204,$B$5:$B$204,B114)-SUMIFS($H$5:$H$204,$B$5:$B$204,B114))</x:f>
      </x:c>
      <x:c r="O114" s="11"/>
      <x:c r="P114" s="2"/>
      <x:c r="Q114" s="2"/>
    </x:row>
    <x:row r="115">
      <x:c r="A115" s="65"/>
      <x:c r="B115" s="11"/>
      <x:c r="C115" s="11"/>
      <x:c r="D115" s="11"/>
      <x:c r="E115" s="11"/>
      <x:c r="F115" s="11"/>
      <x:c r="G115" s="66"/>
      <x:c r="H115" s="66"/>
      <x:c r="I115" s="11"/>
      <x:c r="J115" s="11"/>
      <x:c r="K115" s="11"/>
      <x:c r="L115" s="11"/>
      <x:c r="M115" s="11"/>
      <x:c r="N115" s="70" t="str">
        <x:f>IF(B115="","",SUMIFS($G$5:$G$204,$B$5:$B$204,B115)-SUMIFS($H$5:$H$204,$B$5:$B$204,B115))</x:f>
      </x:c>
      <x:c r="O115" s="11"/>
      <x:c r="P115" s="2"/>
      <x:c r="Q115" s="2"/>
    </x:row>
    <x:row r="116">
      <x:c r="A116" s="65"/>
      <x:c r="B116" s="11"/>
      <x:c r="C116" s="11"/>
      <x:c r="D116" s="11"/>
      <x:c r="E116" s="11"/>
      <x:c r="F116" s="11"/>
      <x:c r="G116" s="66"/>
      <x:c r="H116" s="66"/>
      <x:c r="I116" s="11"/>
      <x:c r="J116" s="11"/>
      <x:c r="K116" s="11"/>
      <x:c r="L116" s="11"/>
      <x:c r="M116" s="11"/>
      <x:c r="N116" s="70" t="str">
        <x:f>IF(B116="","",SUMIFS($G$5:$G$204,$B$5:$B$204,B116)-SUMIFS($H$5:$H$204,$B$5:$B$204,B116))</x:f>
      </x:c>
      <x:c r="O116" s="11"/>
      <x:c r="P116" s="2"/>
      <x:c r="Q116" s="2"/>
    </x:row>
    <x:row r="117">
      <x:c r="A117" s="65"/>
      <x:c r="B117" s="11"/>
      <x:c r="C117" s="11"/>
      <x:c r="D117" s="11"/>
      <x:c r="E117" s="11"/>
      <x:c r="F117" s="11"/>
      <x:c r="G117" s="66"/>
      <x:c r="H117" s="66"/>
      <x:c r="I117" s="11"/>
      <x:c r="J117" s="11"/>
      <x:c r="K117" s="11"/>
      <x:c r="L117" s="11"/>
      <x:c r="M117" s="11"/>
      <x:c r="N117" s="70" t="str">
        <x:f>IF(B117="","",SUMIFS($G$5:$G$204,$B$5:$B$204,B117)-SUMIFS($H$5:$H$204,$B$5:$B$204,B117))</x:f>
      </x:c>
      <x:c r="O117" s="11"/>
      <x:c r="P117" s="2"/>
      <x:c r="Q117" s="2"/>
    </x:row>
    <x:row r="118">
      <x:c r="A118" s="65"/>
      <x:c r="B118" s="11"/>
      <x:c r="C118" s="11"/>
      <x:c r="D118" s="11"/>
      <x:c r="E118" s="11"/>
      <x:c r="F118" s="11"/>
      <x:c r="G118" s="66"/>
      <x:c r="H118" s="66"/>
      <x:c r="I118" s="11"/>
      <x:c r="J118" s="11"/>
      <x:c r="K118" s="11"/>
      <x:c r="L118" s="11"/>
      <x:c r="M118" s="11"/>
      <x:c r="N118" s="70" t="str">
        <x:f>IF(B118="","",SUMIFS($G$5:$G$204,$B$5:$B$204,B118)-SUMIFS($H$5:$H$204,$B$5:$B$204,B118))</x:f>
      </x:c>
      <x:c r="O118" s="11"/>
      <x:c r="P118" s="2"/>
      <x:c r="Q118" s="2"/>
    </x:row>
    <x:row r="119">
      <x:c r="A119" s="65"/>
      <x:c r="B119" s="11"/>
      <x:c r="C119" s="11"/>
      <x:c r="D119" s="11"/>
      <x:c r="E119" s="11"/>
      <x:c r="F119" s="11"/>
      <x:c r="G119" s="66"/>
      <x:c r="H119" s="66"/>
      <x:c r="I119" s="11"/>
      <x:c r="J119" s="11"/>
      <x:c r="K119" s="11"/>
      <x:c r="L119" s="11"/>
      <x:c r="M119" s="11"/>
      <x:c r="N119" s="70" t="str">
        <x:f>IF(B119="","",SUMIFS($G$5:$G$204,$B$5:$B$204,B119)-SUMIFS($H$5:$H$204,$B$5:$B$204,B119))</x:f>
      </x:c>
      <x:c r="O119" s="11"/>
      <x:c r="P119" s="2"/>
      <x:c r="Q119" s="2"/>
    </x:row>
    <x:row r="120">
      <x:c r="A120" s="65"/>
      <x:c r="B120" s="11"/>
      <x:c r="C120" s="11"/>
      <x:c r="D120" s="11"/>
      <x:c r="E120" s="11"/>
      <x:c r="F120" s="11"/>
      <x:c r="G120" s="66"/>
      <x:c r="H120" s="66"/>
      <x:c r="I120" s="11"/>
      <x:c r="J120" s="11"/>
      <x:c r="K120" s="11"/>
      <x:c r="L120" s="11"/>
      <x:c r="M120" s="11"/>
      <x:c r="N120" s="70" t="str">
        <x:f>IF(B120="","",SUMIFS($G$5:$G$204,$B$5:$B$204,B120)-SUMIFS($H$5:$H$204,$B$5:$B$204,B120))</x:f>
      </x:c>
      <x:c r="O120" s="11"/>
      <x:c r="P120" s="2"/>
      <x:c r="Q120" s="2"/>
    </x:row>
    <x:row r="121">
      <x:c r="A121" s="65"/>
      <x:c r="B121" s="11"/>
      <x:c r="C121" s="11"/>
      <x:c r="D121" s="11"/>
      <x:c r="E121" s="11"/>
      <x:c r="F121" s="11"/>
      <x:c r="G121" s="66"/>
      <x:c r="H121" s="66"/>
      <x:c r="I121" s="11"/>
      <x:c r="J121" s="11"/>
      <x:c r="K121" s="11"/>
      <x:c r="L121" s="11"/>
      <x:c r="M121" s="11"/>
      <x:c r="N121" s="70" t="str">
        <x:f>IF(B121="","",SUMIFS($G$5:$G$204,$B$5:$B$204,B121)-SUMIFS($H$5:$H$204,$B$5:$B$204,B121))</x:f>
      </x:c>
      <x:c r="O121" s="11"/>
      <x:c r="P121" s="2"/>
      <x:c r="Q121" s="2"/>
    </x:row>
    <x:row r="122">
      <x:c r="A122" s="65"/>
      <x:c r="B122" s="11"/>
      <x:c r="C122" s="11"/>
      <x:c r="D122" s="11"/>
      <x:c r="E122" s="11"/>
      <x:c r="F122" s="11"/>
      <x:c r="G122" s="66"/>
      <x:c r="H122" s="66"/>
      <x:c r="I122" s="11"/>
      <x:c r="J122" s="11"/>
      <x:c r="K122" s="11"/>
      <x:c r="L122" s="11"/>
      <x:c r="M122" s="11"/>
      <x:c r="N122" s="70" t="str">
        <x:f>IF(B122="","",SUMIFS($G$5:$G$204,$B$5:$B$204,B122)-SUMIFS($H$5:$H$204,$B$5:$B$204,B122))</x:f>
      </x:c>
      <x:c r="O122" s="11"/>
      <x:c r="P122" s="2"/>
      <x:c r="Q122" s="2"/>
    </x:row>
    <x:row r="123">
      <x:c r="A123" s="65"/>
      <x:c r="B123" s="11"/>
      <x:c r="C123" s="11"/>
      <x:c r="D123" s="11"/>
      <x:c r="E123" s="11"/>
      <x:c r="F123" s="11"/>
      <x:c r="G123" s="66"/>
      <x:c r="H123" s="66"/>
      <x:c r="I123" s="11"/>
      <x:c r="J123" s="11"/>
      <x:c r="K123" s="11"/>
      <x:c r="L123" s="11"/>
      <x:c r="M123" s="11"/>
      <x:c r="N123" s="70" t="str">
        <x:f>IF(B123="","",SUMIFS($G$5:$G$204,$B$5:$B$204,B123)-SUMIFS($H$5:$H$204,$B$5:$B$204,B123))</x:f>
      </x:c>
      <x:c r="O123" s="11"/>
      <x:c r="P123" s="2"/>
      <x:c r="Q123" s="2"/>
    </x:row>
    <x:row r="124">
      <x:c r="A124" s="65"/>
      <x:c r="B124" s="11"/>
      <x:c r="C124" s="11"/>
      <x:c r="D124" s="11"/>
      <x:c r="E124" s="11"/>
      <x:c r="F124" s="11"/>
      <x:c r="G124" s="66"/>
      <x:c r="H124" s="66"/>
      <x:c r="I124" s="11"/>
      <x:c r="J124" s="11"/>
      <x:c r="K124" s="11"/>
      <x:c r="L124" s="11"/>
      <x:c r="M124" s="11"/>
      <x:c r="N124" s="70" t="str">
        <x:f>IF(B124="","",SUMIFS($G$5:$G$204,$B$5:$B$204,B124)-SUMIFS($H$5:$H$204,$B$5:$B$204,B124))</x:f>
      </x:c>
      <x:c r="O124" s="11"/>
      <x:c r="P124" s="2"/>
      <x:c r="Q124" s="2"/>
    </x:row>
    <x:row r="125">
      <x:c r="A125" s="65"/>
      <x:c r="B125" s="11"/>
      <x:c r="C125" s="11"/>
      <x:c r="D125" s="11"/>
      <x:c r="E125" s="11"/>
      <x:c r="F125" s="11"/>
      <x:c r="G125" s="66"/>
      <x:c r="H125" s="66"/>
      <x:c r="I125" s="11"/>
      <x:c r="J125" s="11"/>
      <x:c r="K125" s="11"/>
      <x:c r="L125" s="11"/>
      <x:c r="M125" s="11"/>
      <x:c r="N125" s="70" t="str">
        <x:f>IF(B125="","",SUMIFS($G$5:$G$204,$B$5:$B$204,B125)-SUMIFS($H$5:$H$204,$B$5:$B$204,B125))</x:f>
      </x:c>
      <x:c r="O125" s="11"/>
      <x:c r="P125" s="2"/>
      <x:c r="Q125" s="2"/>
    </x:row>
    <x:row r="126">
      <x:c r="A126" s="65"/>
      <x:c r="B126" s="11"/>
      <x:c r="C126" s="11"/>
      <x:c r="D126" s="11"/>
      <x:c r="E126" s="11"/>
      <x:c r="F126" s="11"/>
      <x:c r="G126" s="66"/>
      <x:c r="H126" s="66"/>
      <x:c r="I126" s="11"/>
      <x:c r="J126" s="11"/>
      <x:c r="K126" s="11"/>
      <x:c r="L126" s="11"/>
      <x:c r="M126" s="11"/>
      <x:c r="N126" s="70" t="str">
        <x:f>IF(B126="","",SUMIFS($G$5:$G$204,$B$5:$B$204,B126)-SUMIFS($H$5:$H$204,$B$5:$B$204,B126))</x:f>
      </x:c>
      <x:c r="O126" s="11"/>
      <x:c r="P126" s="2"/>
      <x:c r="Q126" s="2"/>
    </x:row>
    <x:row r="127">
      <x:c r="A127" s="65"/>
      <x:c r="B127" s="11"/>
      <x:c r="C127" s="11"/>
      <x:c r="D127" s="11"/>
      <x:c r="E127" s="11"/>
      <x:c r="F127" s="11"/>
      <x:c r="G127" s="66"/>
      <x:c r="H127" s="66"/>
      <x:c r="I127" s="11"/>
      <x:c r="J127" s="11"/>
      <x:c r="K127" s="11"/>
      <x:c r="L127" s="11"/>
      <x:c r="M127" s="11"/>
      <x:c r="N127" s="70" t="str">
        <x:f>IF(B127="","",SUMIFS($G$5:$G$204,$B$5:$B$204,B127)-SUMIFS($H$5:$H$204,$B$5:$B$204,B127))</x:f>
      </x:c>
      <x:c r="O127" s="11"/>
      <x:c r="P127" s="2"/>
      <x:c r="Q127" s="2"/>
    </x:row>
    <x:row r="128">
      <x:c r="A128" s="65"/>
      <x:c r="B128" s="11"/>
      <x:c r="C128" s="11"/>
      <x:c r="D128" s="11"/>
      <x:c r="E128" s="11"/>
      <x:c r="F128" s="11"/>
      <x:c r="G128" s="66"/>
      <x:c r="H128" s="66"/>
      <x:c r="I128" s="11"/>
      <x:c r="J128" s="11"/>
      <x:c r="K128" s="11"/>
      <x:c r="L128" s="11"/>
      <x:c r="M128" s="11"/>
      <x:c r="N128" s="70" t="str">
        <x:f>IF(B128="","",SUMIFS($G$5:$G$204,$B$5:$B$204,B128)-SUMIFS($H$5:$H$204,$B$5:$B$204,B128))</x:f>
      </x:c>
      <x:c r="O128" s="11"/>
      <x:c r="P128" s="2"/>
      <x:c r="Q128" s="2"/>
    </x:row>
    <x:row r="129">
      <x:c r="A129" s="65"/>
      <x:c r="B129" s="11"/>
      <x:c r="C129" s="11"/>
      <x:c r="D129" s="11"/>
      <x:c r="E129" s="11"/>
      <x:c r="F129" s="11"/>
      <x:c r="G129" s="66"/>
      <x:c r="H129" s="66"/>
      <x:c r="I129" s="11"/>
      <x:c r="J129" s="11"/>
      <x:c r="K129" s="11"/>
      <x:c r="L129" s="11"/>
      <x:c r="M129" s="11"/>
      <x:c r="N129" s="70" t="str">
        <x:f>IF(B129="","",SUMIFS($G$5:$G$204,$B$5:$B$204,B129)-SUMIFS($H$5:$H$204,$B$5:$B$204,B129))</x:f>
      </x:c>
      <x:c r="O129" s="11"/>
      <x:c r="P129" s="2"/>
      <x:c r="Q129" s="2"/>
    </x:row>
    <x:row r="130">
      <x:c r="A130" s="65"/>
      <x:c r="B130" s="11"/>
      <x:c r="C130" s="11"/>
      <x:c r="D130" s="11"/>
      <x:c r="E130" s="11"/>
      <x:c r="F130" s="11"/>
      <x:c r="G130" s="66"/>
      <x:c r="H130" s="66"/>
      <x:c r="I130" s="11"/>
      <x:c r="J130" s="11"/>
      <x:c r="K130" s="11"/>
      <x:c r="L130" s="11"/>
      <x:c r="M130" s="11"/>
      <x:c r="N130" s="70" t="str">
        <x:f>IF(B130="","",SUMIFS($G$5:$G$204,$B$5:$B$204,B130)-SUMIFS($H$5:$H$204,$B$5:$B$204,B130))</x:f>
      </x:c>
      <x:c r="O130" s="11"/>
      <x:c r="P130" s="2"/>
      <x:c r="Q130" s="2"/>
    </x:row>
    <x:row r="131">
      <x:c r="A131" s="65"/>
      <x:c r="B131" s="11"/>
      <x:c r="C131" s="11"/>
      <x:c r="D131" s="11"/>
      <x:c r="E131" s="11"/>
      <x:c r="F131" s="11"/>
      <x:c r="G131" s="66"/>
      <x:c r="H131" s="66"/>
      <x:c r="I131" s="11"/>
      <x:c r="J131" s="11"/>
      <x:c r="K131" s="11"/>
      <x:c r="L131" s="11"/>
      <x:c r="M131" s="11"/>
      <x:c r="N131" s="70" t="str">
        <x:f>IF(B131="","",SUMIFS($G$5:$G$204,$B$5:$B$204,B131)-SUMIFS($H$5:$H$204,$B$5:$B$204,B131))</x:f>
      </x:c>
      <x:c r="O131" s="11"/>
      <x:c r="P131" s="2"/>
      <x:c r="Q131" s="2"/>
    </x:row>
    <x:row r="132">
      <x:c r="A132" s="65"/>
      <x:c r="B132" s="11"/>
      <x:c r="C132" s="11"/>
      <x:c r="D132" s="11"/>
      <x:c r="E132" s="11"/>
      <x:c r="F132" s="11"/>
      <x:c r="G132" s="66"/>
      <x:c r="H132" s="66"/>
      <x:c r="I132" s="11"/>
      <x:c r="J132" s="11"/>
      <x:c r="K132" s="11"/>
      <x:c r="L132" s="11"/>
      <x:c r="M132" s="11"/>
      <x:c r="N132" s="70" t="str">
        <x:f>IF(B132="","",SUMIFS($G$5:$G$204,$B$5:$B$204,B132)-SUMIFS($H$5:$H$204,$B$5:$B$204,B132))</x:f>
      </x:c>
      <x:c r="O132" s="11"/>
      <x:c r="P132" s="2"/>
      <x:c r="Q132" s="2"/>
    </x:row>
    <x:row r="133">
      <x:c r="A133" s="65"/>
      <x:c r="B133" s="11"/>
      <x:c r="C133" s="11"/>
      <x:c r="D133" s="11"/>
      <x:c r="E133" s="11"/>
      <x:c r="F133" s="11"/>
      <x:c r="G133" s="66"/>
      <x:c r="H133" s="66"/>
      <x:c r="I133" s="11"/>
      <x:c r="J133" s="11"/>
      <x:c r="K133" s="11"/>
      <x:c r="L133" s="11"/>
      <x:c r="M133" s="11"/>
      <x:c r="N133" s="70" t="str">
        <x:f>IF(B133="","",SUMIFS($G$5:$G$204,$B$5:$B$204,B133)-SUMIFS($H$5:$H$204,$B$5:$B$204,B133))</x:f>
      </x:c>
      <x:c r="O133" s="11"/>
      <x:c r="P133" s="2"/>
      <x:c r="Q133" s="2"/>
    </x:row>
    <x:row r="134">
      <x:c r="A134" s="65"/>
      <x:c r="B134" s="11"/>
      <x:c r="C134" s="11"/>
      <x:c r="D134" s="11"/>
      <x:c r="E134" s="11"/>
      <x:c r="F134" s="11"/>
      <x:c r="G134" s="66"/>
      <x:c r="H134" s="66"/>
      <x:c r="I134" s="11"/>
      <x:c r="J134" s="11"/>
      <x:c r="K134" s="11"/>
      <x:c r="L134" s="11"/>
      <x:c r="M134" s="11"/>
      <x:c r="N134" s="70" t="str">
        <x:f>IF(B134="","",SUMIFS($G$5:$G$204,$B$5:$B$204,B134)-SUMIFS($H$5:$H$204,$B$5:$B$204,B134))</x:f>
      </x:c>
      <x:c r="O134" s="11"/>
      <x:c r="P134" s="2"/>
      <x:c r="Q134" s="2"/>
    </x:row>
    <x:row r="135">
      <x:c r="A135" s="65"/>
      <x:c r="B135" s="11"/>
      <x:c r="C135" s="11"/>
      <x:c r="D135" s="11"/>
      <x:c r="E135" s="11"/>
      <x:c r="F135" s="11"/>
      <x:c r="G135" s="66"/>
      <x:c r="H135" s="66"/>
      <x:c r="I135" s="11"/>
      <x:c r="J135" s="11"/>
      <x:c r="K135" s="11"/>
      <x:c r="L135" s="11"/>
      <x:c r="M135" s="11"/>
      <x:c r="N135" s="70" t="str">
        <x:f>IF(B135="","",SUMIFS($G$5:$G$204,$B$5:$B$204,B135)-SUMIFS($H$5:$H$204,$B$5:$B$204,B135))</x:f>
      </x:c>
      <x:c r="O135" s="11"/>
      <x:c r="P135" s="2"/>
      <x:c r="Q135" s="2"/>
    </x:row>
    <x:row r="136">
      <x:c r="A136" s="65"/>
      <x:c r="B136" s="11"/>
      <x:c r="C136" s="11"/>
      <x:c r="D136" s="11"/>
      <x:c r="E136" s="11"/>
      <x:c r="F136" s="11"/>
      <x:c r="G136" s="66"/>
      <x:c r="H136" s="66"/>
      <x:c r="I136" s="11"/>
      <x:c r="J136" s="11"/>
      <x:c r="K136" s="11"/>
      <x:c r="L136" s="11"/>
      <x:c r="M136" s="11"/>
      <x:c r="N136" s="70" t="str">
        <x:f>IF(B136="","",SUMIFS($G$5:$G$204,$B$5:$B$204,B136)-SUMIFS($H$5:$H$204,$B$5:$B$204,B136))</x:f>
      </x:c>
      <x:c r="O136" s="11"/>
      <x:c r="P136" s="2"/>
      <x:c r="Q136" s="2"/>
    </x:row>
    <x:row r="137">
      <x:c r="A137" s="65"/>
      <x:c r="B137" s="11"/>
      <x:c r="C137" s="11"/>
      <x:c r="D137" s="11"/>
      <x:c r="E137" s="11"/>
      <x:c r="F137" s="11"/>
      <x:c r="G137" s="66"/>
      <x:c r="H137" s="66"/>
      <x:c r="I137" s="11"/>
      <x:c r="J137" s="11"/>
      <x:c r="K137" s="11"/>
      <x:c r="L137" s="11"/>
      <x:c r="M137" s="11"/>
      <x:c r="N137" s="70" t="str">
        <x:f>IF(B137="","",SUMIFS($G$5:$G$204,$B$5:$B$204,B137)-SUMIFS($H$5:$H$204,$B$5:$B$204,B137))</x:f>
      </x:c>
      <x:c r="O137" s="11"/>
      <x:c r="P137" s="2"/>
      <x:c r="Q137" s="2"/>
    </x:row>
    <x:row r="138">
      <x:c r="A138" s="65"/>
      <x:c r="B138" s="11"/>
      <x:c r="C138" s="11"/>
      <x:c r="D138" s="11"/>
      <x:c r="E138" s="11"/>
      <x:c r="F138" s="11"/>
      <x:c r="G138" s="66"/>
      <x:c r="H138" s="66"/>
      <x:c r="I138" s="11"/>
      <x:c r="J138" s="11"/>
      <x:c r="K138" s="11"/>
      <x:c r="L138" s="11"/>
      <x:c r="M138" s="11"/>
      <x:c r="N138" s="70" t="str">
        <x:f>IF(B138="","",SUMIFS($G$5:$G$204,$B$5:$B$204,B138)-SUMIFS($H$5:$H$204,$B$5:$B$204,B138))</x:f>
      </x:c>
      <x:c r="O138" s="11"/>
      <x:c r="P138" s="2"/>
      <x:c r="Q138" s="2"/>
    </x:row>
    <x:row r="139">
      <x:c r="A139" s="65"/>
      <x:c r="B139" s="11"/>
      <x:c r="C139" s="11"/>
      <x:c r="D139" s="11"/>
      <x:c r="E139" s="11"/>
      <x:c r="F139" s="11"/>
      <x:c r="G139" s="66"/>
      <x:c r="H139" s="66"/>
      <x:c r="I139" s="11"/>
      <x:c r="J139" s="11"/>
      <x:c r="K139" s="11"/>
      <x:c r="L139" s="11"/>
      <x:c r="M139" s="11"/>
      <x:c r="N139" s="70" t="str">
        <x:f>IF(B139="","",SUMIFS($G$5:$G$204,$B$5:$B$204,B139)-SUMIFS($H$5:$H$204,$B$5:$B$204,B139))</x:f>
      </x:c>
      <x:c r="O139" s="11"/>
      <x:c r="P139" s="2"/>
      <x:c r="Q139" s="2"/>
    </x:row>
    <x:row r="140">
      <x:c r="A140" s="65"/>
      <x:c r="B140" s="11"/>
      <x:c r="C140" s="11"/>
      <x:c r="D140" s="11"/>
      <x:c r="E140" s="11"/>
      <x:c r="F140" s="11"/>
      <x:c r="G140" s="66"/>
      <x:c r="H140" s="66"/>
      <x:c r="I140" s="11"/>
      <x:c r="J140" s="11"/>
      <x:c r="K140" s="11"/>
      <x:c r="L140" s="11"/>
      <x:c r="M140" s="11"/>
      <x:c r="N140" s="70" t="str">
        <x:f>IF(B140="","",SUMIFS($G$5:$G$204,$B$5:$B$204,B140)-SUMIFS($H$5:$H$204,$B$5:$B$204,B140))</x:f>
      </x:c>
      <x:c r="O140" s="11"/>
      <x:c r="P140" s="2"/>
      <x:c r="Q140" s="2"/>
    </x:row>
    <x:row r="141">
      <x:c r="A141" s="65"/>
      <x:c r="B141" s="11"/>
      <x:c r="C141" s="11"/>
      <x:c r="D141" s="11"/>
      <x:c r="E141" s="11"/>
      <x:c r="F141" s="11"/>
      <x:c r="G141" s="66"/>
      <x:c r="H141" s="66"/>
      <x:c r="I141" s="11"/>
      <x:c r="J141" s="11"/>
      <x:c r="K141" s="11"/>
      <x:c r="L141" s="11"/>
      <x:c r="M141" s="11"/>
      <x:c r="N141" s="70" t="str">
        <x:f>IF(B141="","",SUMIFS($G$5:$G$204,$B$5:$B$204,B141)-SUMIFS($H$5:$H$204,$B$5:$B$204,B141))</x:f>
      </x:c>
      <x:c r="O141" s="11"/>
      <x:c r="P141" s="2"/>
      <x:c r="Q141" s="2"/>
    </x:row>
    <x:row r="142">
      <x:c r="A142" s="65"/>
      <x:c r="B142" s="11"/>
      <x:c r="C142" s="11"/>
      <x:c r="D142" s="11"/>
      <x:c r="E142" s="11"/>
      <x:c r="F142" s="11"/>
      <x:c r="G142" s="66"/>
      <x:c r="H142" s="66"/>
      <x:c r="I142" s="11"/>
      <x:c r="J142" s="11"/>
      <x:c r="K142" s="11"/>
      <x:c r="L142" s="11"/>
      <x:c r="M142" s="11"/>
      <x:c r="N142" s="70" t="str">
        <x:f>IF(B142="","",SUMIFS($G$5:$G$204,$B$5:$B$204,B142)-SUMIFS($H$5:$H$204,$B$5:$B$204,B142))</x:f>
      </x:c>
      <x:c r="O142" s="11"/>
      <x:c r="P142" s="2"/>
      <x:c r="Q142" s="2"/>
    </x:row>
    <x:row r="143">
      <x:c r="A143" s="65"/>
      <x:c r="B143" s="11"/>
      <x:c r="C143" s="11"/>
      <x:c r="D143" s="11"/>
      <x:c r="E143" s="11"/>
      <x:c r="F143" s="11"/>
      <x:c r="G143" s="66"/>
      <x:c r="H143" s="66"/>
      <x:c r="I143" s="11"/>
      <x:c r="J143" s="11"/>
      <x:c r="K143" s="11"/>
      <x:c r="L143" s="11"/>
      <x:c r="M143" s="11"/>
      <x:c r="N143" s="70" t="str">
        <x:f>IF(B143="","",SUMIFS($G$5:$G$204,$B$5:$B$204,B143)-SUMIFS($H$5:$H$204,$B$5:$B$204,B143))</x:f>
      </x:c>
      <x:c r="O143" s="11"/>
      <x:c r="P143" s="2"/>
      <x:c r="Q143" s="2"/>
    </x:row>
    <x:row r="144">
      <x:c r="A144" s="65"/>
      <x:c r="B144" s="11"/>
      <x:c r="C144" s="11"/>
      <x:c r="D144" s="11"/>
      <x:c r="E144" s="11"/>
      <x:c r="F144" s="11"/>
      <x:c r="G144" s="66"/>
      <x:c r="H144" s="66"/>
      <x:c r="I144" s="11"/>
      <x:c r="J144" s="11"/>
      <x:c r="K144" s="11"/>
      <x:c r="L144" s="11"/>
      <x:c r="M144" s="11"/>
      <x:c r="N144" s="70" t="str">
        <x:f>IF(B144="","",SUMIFS($G$5:$G$204,$B$5:$B$204,B144)-SUMIFS($H$5:$H$204,$B$5:$B$204,B144))</x:f>
      </x:c>
      <x:c r="O144" s="11"/>
      <x:c r="P144" s="2"/>
      <x:c r="Q144" s="2"/>
    </x:row>
    <x:row r="145">
      <x:c r="A145" s="65"/>
      <x:c r="B145" s="11"/>
      <x:c r="C145" s="11"/>
      <x:c r="D145" s="11"/>
      <x:c r="E145" s="11"/>
      <x:c r="F145" s="11"/>
      <x:c r="G145" s="66"/>
      <x:c r="H145" s="66"/>
      <x:c r="I145" s="11"/>
      <x:c r="J145" s="11"/>
      <x:c r="K145" s="11"/>
      <x:c r="L145" s="11"/>
      <x:c r="M145" s="11"/>
      <x:c r="N145" s="70" t="str">
        <x:f>IF(B145="","",SUMIFS($G$5:$G$204,$B$5:$B$204,B145)-SUMIFS($H$5:$H$204,$B$5:$B$204,B145))</x:f>
      </x:c>
      <x:c r="O145" s="11"/>
      <x:c r="P145" s="2"/>
      <x:c r="Q145" s="2"/>
    </x:row>
    <x:row r="146">
      <x:c r="A146" s="65"/>
      <x:c r="B146" s="11"/>
      <x:c r="C146" s="11"/>
      <x:c r="D146" s="11"/>
      <x:c r="E146" s="11"/>
      <x:c r="F146" s="11"/>
      <x:c r="G146" s="66"/>
      <x:c r="H146" s="66"/>
      <x:c r="I146" s="11"/>
      <x:c r="J146" s="11"/>
      <x:c r="K146" s="11"/>
      <x:c r="L146" s="11"/>
      <x:c r="M146" s="11"/>
      <x:c r="N146" s="70" t="str">
        <x:f>IF(B146="","",SUMIFS($G$5:$G$204,$B$5:$B$204,B146)-SUMIFS($H$5:$H$204,$B$5:$B$204,B146))</x:f>
      </x:c>
      <x:c r="O146" s="11"/>
      <x:c r="P146" s="2"/>
      <x:c r="Q146" s="2"/>
    </x:row>
    <x:row r="147">
      <x:c r="A147" s="65"/>
      <x:c r="B147" s="11"/>
      <x:c r="C147" s="11"/>
      <x:c r="D147" s="11"/>
      <x:c r="E147" s="11"/>
      <x:c r="F147" s="11"/>
      <x:c r="G147" s="66"/>
      <x:c r="H147" s="66"/>
      <x:c r="I147" s="11"/>
      <x:c r="J147" s="11"/>
      <x:c r="K147" s="11"/>
      <x:c r="L147" s="11"/>
      <x:c r="M147" s="11"/>
      <x:c r="N147" s="70" t="str">
        <x:f>IF(B147="","",SUMIFS($G$5:$G$204,$B$5:$B$204,B147)-SUMIFS($H$5:$H$204,$B$5:$B$204,B147))</x:f>
      </x:c>
      <x:c r="O147" s="11"/>
      <x:c r="P147" s="2"/>
      <x:c r="Q147" s="2"/>
    </x:row>
    <x:row r="148">
      <x:c r="A148" s="65"/>
      <x:c r="B148" s="11"/>
      <x:c r="C148" s="11"/>
      <x:c r="D148" s="11"/>
      <x:c r="E148" s="11"/>
      <x:c r="F148" s="11"/>
      <x:c r="G148" s="66"/>
      <x:c r="H148" s="66"/>
      <x:c r="I148" s="11"/>
      <x:c r="J148" s="11"/>
      <x:c r="K148" s="11"/>
      <x:c r="L148" s="11"/>
      <x:c r="M148" s="11"/>
      <x:c r="N148" s="70" t="str">
        <x:f>IF(B148="","",SUMIFS($G$5:$G$204,$B$5:$B$204,B148)-SUMIFS($H$5:$H$204,$B$5:$B$204,B148))</x:f>
      </x:c>
      <x:c r="O148" s="11"/>
      <x:c r="P148" s="2"/>
      <x:c r="Q148" s="2"/>
    </x:row>
    <x:row r="149">
      <x:c r="A149" s="65"/>
      <x:c r="B149" s="11"/>
      <x:c r="C149" s="11"/>
      <x:c r="D149" s="11"/>
      <x:c r="E149" s="11"/>
      <x:c r="F149" s="11"/>
      <x:c r="G149" s="66"/>
      <x:c r="H149" s="66"/>
      <x:c r="I149" s="11"/>
      <x:c r="J149" s="11"/>
      <x:c r="K149" s="11"/>
      <x:c r="L149" s="11"/>
      <x:c r="M149" s="11"/>
      <x:c r="N149" s="70" t="str">
        <x:f>IF(B149="","",SUMIFS($G$5:$G$204,$B$5:$B$204,B149)-SUMIFS($H$5:$H$204,$B$5:$B$204,B149))</x:f>
      </x:c>
      <x:c r="O149" s="11"/>
      <x:c r="P149" s="2"/>
      <x:c r="Q149" s="2"/>
    </x:row>
    <x:row r="150">
      <x:c r="A150" s="65"/>
      <x:c r="B150" s="11"/>
      <x:c r="C150" s="11"/>
      <x:c r="D150" s="11"/>
      <x:c r="E150" s="11"/>
      <x:c r="F150" s="11"/>
      <x:c r="G150" s="66"/>
      <x:c r="H150" s="66"/>
      <x:c r="I150" s="11"/>
      <x:c r="J150" s="11"/>
      <x:c r="K150" s="11"/>
      <x:c r="L150" s="11"/>
      <x:c r="M150" s="11"/>
      <x:c r="N150" s="70" t="str">
        <x:f>IF(B150="","",SUMIFS($G$5:$G$204,$B$5:$B$204,B150)-SUMIFS($H$5:$H$204,$B$5:$B$204,B150))</x:f>
      </x:c>
      <x:c r="O150" s="11"/>
      <x:c r="P150" s="2"/>
      <x:c r="Q150" s="2"/>
    </x:row>
    <x:row r="151">
      <x:c r="A151" s="65"/>
      <x:c r="B151" s="11"/>
      <x:c r="C151" s="11"/>
      <x:c r="D151" s="11"/>
      <x:c r="E151" s="11"/>
      <x:c r="F151" s="11"/>
      <x:c r="G151" s="66"/>
      <x:c r="H151" s="66"/>
      <x:c r="I151" s="11"/>
      <x:c r="J151" s="11"/>
      <x:c r="K151" s="11"/>
      <x:c r="L151" s="11"/>
      <x:c r="M151" s="11"/>
      <x:c r="N151" s="70" t="str">
        <x:f>IF(B151="","",SUMIFS($G$5:$G$204,$B$5:$B$204,B151)-SUMIFS($H$5:$H$204,$B$5:$B$204,B151))</x:f>
      </x:c>
      <x:c r="O151" s="11"/>
      <x:c r="P151" s="2"/>
      <x:c r="Q151" s="2"/>
    </x:row>
    <x:row r="152">
      <x:c r="A152" s="65"/>
      <x:c r="B152" s="11"/>
      <x:c r="C152" s="11"/>
      <x:c r="D152" s="11"/>
      <x:c r="E152" s="11"/>
      <x:c r="F152" s="11"/>
      <x:c r="G152" s="66"/>
      <x:c r="H152" s="66"/>
      <x:c r="I152" s="11"/>
      <x:c r="J152" s="11"/>
      <x:c r="K152" s="11"/>
      <x:c r="L152" s="11"/>
      <x:c r="M152" s="11"/>
      <x:c r="N152" s="70" t="str">
        <x:f>IF(B152="","",SUMIFS($G$5:$G$204,$B$5:$B$204,B152)-SUMIFS($H$5:$H$204,$B$5:$B$204,B152))</x:f>
      </x:c>
      <x:c r="O152" s="11"/>
      <x:c r="P152" s="2"/>
      <x:c r="Q152" s="2"/>
    </x:row>
    <x:row r="153">
      <x:c r="A153" s="65"/>
      <x:c r="B153" s="11"/>
      <x:c r="C153" s="11"/>
      <x:c r="D153" s="11"/>
      <x:c r="E153" s="11"/>
      <x:c r="F153" s="11"/>
      <x:c r="G153" s="66"/>
      <x:c r="H153" s="66"/>
      <x:c r="I153" s="11"/>
      <x:c r="J153" s="11"/>
      <x:c r="K153" s="11"/>
      <x:c r="L153" s="11"/>
      <x:c r="M153" s="11"/>
      <x:c r="N153" s="70" t="str">
        <x:f>IF(B153="","",SUMIFS($G$5:$G$204,$B$5:$B$204,B153)-SUMIFS($H$5:$H$204,$B$5:$B$204,B153))</x:f>
      </x:c>
      <x:c r="O153" s="11"/>
      <x:c r="P153" s="2"/>
      <x:c r="Q153" s="2"/>
    </x:row>
    <x:row r="154">
      <x:c r="A154" s="65"/>
      <x:c r="B154" s="11"/>
      <x:c r="C154" s="11"/>
      <x:c r="D154" s="11"/>
      <x:c r="E154" s="11"/>
      <x:c r="F154" s="11"/>
      <x:c r="G154" s="66"/>
      <x:c r="H154" s="66"/>
      <x:c r="I154" s="11"/>
      <x:c r="J154" s="11"/>
      <x:c r="K154" s="11"/>
      <x:c r="L154" s="11"/>
      <x:c r="M154" s="11"/>
      <x:c r="N154" s="70" t="str">
        <x:f>IF(B154="","",SUMIFS($G$5:$G$204,$B$5:$B$204,B154)-SUMIFS($H$5:$H$204,$B$5:$B$204,B154))</x:f>
      </x:c>
      <x:c r="O154" s="11"/>
      <x:c r="P154" s="2"/>
      <x:c r="Q154" s="2"/>
    </x:row>
    <x:row r="155">
      <x:c r="A155" s="65"/>
      <x:c r="B155" s="11"/>
      <x:c r="C155" s="11"/>
      <x:c r="D155" s="11"/>
      <x:c r="E155" s="11"/>
      <x:c r="F155" s="11"/>
      <x:c r="G155" s="66"/>
      <x:c r="H155" s="66"/>
      <x:c r="I155" s="11"/>
      <x:c r="J155" s="11"/>
      <x:c r="K155" s="11"/>
      <x:c r="L155" s="11"/>
      <x:c r="M155" s="11"/>
      <x:c r="N155" s="70" t="str">
        <x:f>IF(B155="","",SUMIFS($G$5:$G$204,$B$5:$B$204,B155)-SUMIFS($H$5:$H$204,$B$5:$B$204,B155))</x:f>
      </x:c>
      <x:c r="O155" s="11"/>
      <x:c r="P155" s="2"/>
      <x:c r="Q155" s="2"/>
    </x:row>
    <x:row r="156">
      <x:c r="A156" s="65"/>
      <x:c r="B156" s="11"/>
      <x:c r="C156" s="11"/>
      <x:c r="D156" s="11"/>
      <x:c r="E156" s="11"/>
      <x:c r="F156" s="11"/>
      <x:c r="G156" s="66"/>
      <x:c r="H156" s="66"/>
      <x:c r="I156" s="11"/>
      <x:c r="J156" s="11"/>
      <x:c r="K156" s="11"/>
      <x:c r="L156" s="11"/>
      <x:c r="M156" s="11"/>
      <x:c r="N156" s="70" t="str">
        <x:f>IF(B156="","",SUMIFS($G$5:$G$204,$B$5:$B$204,B156)-SUMIFS($H$5:$H$204,$B$5:$B$204,B156))</x:f>
      </x:c>
      <x:c r="O156" s="11"/>
      <x:c r="P156" s="2"/>
      <x:c r="Q156" s="2"/>
    </x:row>
    <x:row r="157">
      <x:c r="A157" s="65"/>
      <x:c r="B157" s="11"/>
      <x:c r="C157" s="11"/>
      <x:c r="D157" s="11"/>
      <x:c r="E157" s="11"/>
      <x:c r="F157" s="11"/>
      <x:c r="G157" s="66"/>
      <x:c r="H157" s="66"/>
      <x:c r="I157" s="11"/>
      <x:c r="J157" s="11"/>
      <x:c r="K157" s="11"/>
      <x:c r="L157" s="11"/>
      <x:c r="M157" s="11"/>
      <x:c r="N157" s="70" t="str">
        <x:f>IF(B157="","",SUMIFS($G$5:$G$204,$B$5:$B$204,B157)-SUMIFS($H$5:$H$204,$B$5:$B$204,B157))</x:f>
      </x:c>
      <x:c r="O157" s="11"/>
      <x:c r="P157" s="2"/>
      <x:c r="Q157" s="2"/>
    </x:row>
    <x:row r="158">
      <x:c r="A158" s="65"/>
      <x:c r="B158" s="11"/>
      <x:c r="C158" s="11"/>
      <x:c r="D158" s="11"/>
      <x:c r="E158" s="11"/>
      <x:c r="F158" s="11"/>
      <x:c r="G158" s="66"/>
      <x:c r="H158" s="66"/>
      <x:c r="I158" s="11"/>
      <x:c r="J158" s="11"/>
      <x:c r="K158" s="11"/>
      <x:c r="L158" s="11"/>
      <x:c r="M158" s="11"/>
      <x:c r="N158" s="70" t="str">
        <x:f>IF(B158="","",SUMIFS($G$5:$G$204,$B$5:$B$204,B158)-SUMIFS($H$5:$H$204,$B$5:$B$204,B158))</x:f>
      </x:c>
      <x:c r="O158" s="11"/>
      <x:c r="P158" s="2"/>
      <x:c r="Q158" s="2"/>
    </x:row>
    <x:row r="159">
      <x:c r="A159" s="65"/>
      <x:c r="B159" s="11"/>
      <x:c r="C159" s="11"/>
      <x:c r="D159" s="11"/>
      <x:c r="E159" s="11"/>
      <x:c r="F159" s="11"/>
      <x:c r="G159" s="66"/>
      <x:c r="H159" s="66"/>
      <x:c r="I159" s="11"/>
      <x:c r="J159" s="11"/>
      <x:c r="K159" s="11"/>
      <x:c r="L159" s="11"/>
      <x:c r="M159" s="11"/>
      <x:c r="N159" s="70" t="str">
        <x:f>IF(B159="","",SUMIFS($G$5:$G$204,$B$5:$B$204,B159)-SUMIFS($H$5:$H$204,$B$5:$B$204,B159))</x:f>
      </x:c>
      <x:c r="O159" s="11"/>
      <x:c r="P159" s="2"/>
      <x:c r="Q159" s="2"/>
    </x:row>
    <x:row r="160">
      <x:c r="A160" s="65"/>
      <x:c r="B160" s="11"/>
      <x:c r="C160" s="11"/>
      <x:c r="D160" s="11"/>
      <x:c r="E160" s="11"/>
      <x:c r="F160" s="11"/>
      <x:c r="G160" s="66"/>
      <x:c r="H160" s="66"/>
      <x:c r="I160" s="11"/>
      <x:c r="J160" s="11"/>
      <x:c r="K160" s="11"/>
      <x:c r="L160" s="11"/>
      <x:c r="M160" s="11"/>
      <x:c r="N160" s="70" t="str">
        <x:f>IF(B160="","",SUMIFS($G$5:$G$204,$B$5:$B$204,B160)-SUMIFS($H$5:$H$204,$B$5:$B$204,B160))</x:f>
      </x:c>
      <x:c r="O160" s="11"/>
      <x:c r="P160" s="2"/>
      <x:c r="Q160" s="2"/>
    </x:row>
    <x:row r="161">
      <x:c r="A161" s="65"/>
      <x:c r="B161" s="11"/>
      <x:c r="C161" s="11"/>
      <x:c r="D161" s="11"/>
      <x:c r="E161" s="11"/>
      <x:c r="F161" s="11"/>
      <x:c r="G161" s="66"/>
      <x:c r="H161" s="66"/>
      <x:c r="I161" s="11"/>
      <x:c r="J161" s="11"/>
      <x:c r="K161" s="11"/>
      <x:c r="L161" s="11"/>
      <x:c r="M161" s="11"/>
      <x:c r="N161" s="70" t="str">
        <x:f>IF(B161="","",SUMIFS($G$5:$G$204,$B$5:$B$204,B161)-SUMIFS($H$5:$H$204,$B$5:$B$204,B161))</x:f>
      </x:c>
      <x:c r="O161" s="11"/>
      <x:c r="P161" s="2"/>
      <x:c r="Q161" s="2"/>
    </x:row>
    <x:row r="162">
      <x:c r="A162" s="65"/>
      <x:c r="B162" s="11"/>
      <x:c r="C162" s="11"/>
      <x:c r="D162" s="11"/>
      <x:c r="E162" s="11"/>
      <x:c r="F162" s="11"/>
      <x:c r="G162" s="66"/>
      <x:c r="H162" s="66"/>
      <x:c r="I162" s="11"/>
      <x:c r="J162" s="11"/>
      <x:c r="K162" s="11"/>
      <x:c r="L162" s="11"/>
      <x:c r="M162" s="11"/>
      <x:c r="N162" s="70" t="str">
        <x:f>IF(B162="","",SUMIFS($G$5:$G$204,$B$5:$B$204,B162)-SUMIFS($H$5:$H$204,$B$5:$B$204,B162))</x:f>
      </x:c>
      <x:c r="O162" s="11"/>
      <x:c r="P162" s="2"/>
      <x:c r="Q162" s="2"/>
    </x:row>
    <x:row r="163">
      <x:c r="A163" s="65"/>
      <x:c r="B163" s="11"/>
      <x:c r="C163" s="11"/>
      <x:c r="D163" s="11"/>
      <x:c r="E163" s="11"/>
      <x:c r="F163" s="11"/>
      <x:c r="G163" s="66"/>
      <x:c r="H163" s="66"/>
      <x:c r="I163" s="11"/>
      <x:c r="J163" s="11"/>
      <x:c r="K163" s="11"/>
      <x:c r="L163" s="11"/>
      <x:c r="M163" s="11"/>
      <x:c r="N163" s="70" t="str">
        <x:f>IF(B163="","",SUMIFS($G$5:$G$204,$B$5:$B$204,B163)-SUMIFS($H$5:$H$204,$B$5:$B$204,B163))</x:f>
      </x:c>
      <x:c r="O163" s="11"/>
      <x:c r="P163" s="2"/>
      <x:c r="Q163" s="2"/>
    </x:row>
    <x:row r="164">
      <x:c r="A164" s="65"/>
      <x:c r="B164" s="11"/>
      <x:c r="C164" s="11"/>
      <x:c r="D164" s="11"/>
      <x:c r="E164" s="11"/>
      <x:c r="F164" s="11"/>
      <x:c r="G164" s="66"/>
      <x:c r="H164" s="66"/>
      <x:c r="I164" s="11"/>
      <x:c r="J164" s="11"/>
      <x:c r="K164" s="11"/>
      <x:c r="L164" s="11"/>
      <x:c r="M164" s="11"/>
      <x:c r="N164" s="70" t="str">
        <x:f>IF(B164="","",SUMIFS($G$5:$G$204,$B$5:$B$204,B164)-SUMIFS($H$5:$H$204,$B$5:$B$204,B164))</x:f>
      </x:c>
      <x:c r="O164" s="11"/>
      <x:c r="P164" s="2"/>
      <x:c r="Q164" s="2"/>
    </x:row>
    <x:row r="165">
      <x:c r="A165" s="65"/>
      <x:c r="B165" s="11"/>
      <x:c r="C165" s="11"/>
      <x:c r="D165" s="11"/>
      <x:c r="E165" s="11"/>
      <x:c r="F165" s="11"/>
      <x:c r="G165" s="66"/>
      <x:c r="H165" s="66"/>
      <x:c r="I165" s="11"/>
      <x:c r="J165" s="11"/>
      <x:c r="K165" s="11"/>
      <x:c r="L165" s="11"/>
      <x:c r="M165" s="11"/>
      <x:c r="N165" s="70" t="str">
        <x:f>IF(B165="","",SUMIFS($G$5:$G$204,$B$5:$B$204,B165)-SUMIFS($H$5:$H$204,$B$5:$B$204,B165))</x:f>
      </x:c>
      <x:c r="O165" s="11"/>
      <x:c r="P165" s="2"/>
      <x:c r="Q165" s="2"/>
    </x:row>
    <x:row r="166">
      <x:c r="A166" s="65"/>
      <x:c r="B166" s="11"/>
      <x:c r="C166" s="11"/>
      <x:c r="D166" s="11"/>
      <x:c r="E166" s="11"/>
      <x:c r="F166" s="11"/>
      <x:c r="G166" s="66"/>
      <x:c r="H166" s="66"/>
      <x:c r="I166" s="11"/>
      <x:c r="J166" s="11"/>
      <x:c r="K166" s="11"/>
      <x:c r="L166" s="11"/>
      <x:c r="M166" s="11"/>
      <x:c r="N166" s="70" t="str">
        <x:f>IF(B166="","",SUMIFS($G$5:$G$204,$B$5:$B$204,B166)-SUMIFS($H$5:$H$204,$B$5:$B$204,B166))</x:f>
      </x:c>
      <x:c r="O166" s="11"/>
      <x:c r="P166" s="2"/>
      <x:c r="Q166" s="2"/>
    </x:row>
    <x:row r="167">
      <x:c r="A167" s="65"/>
      <x:c r="B167" s="11"/>
      <x:c r="C167" s="11"/>
      <x:c r="D167" s="11"/>
      <x:c r="E167" s="11"/>
      <x:c r="F167" s="11"/>
      <x:c r="G167" s="66"/>
      <x:c r="H167" s="66"/>
      <x:c r="I167" s="11"/>
      <x:c r="J167" s="11"/>
      <x:c r="K167" s="11"/>
      <x:c r="L167" s="11"/>
      <x:c r="M167" s="11"/>
      <x:c r="N167" s="70" t="str">
        <x:f>IF(B167="","",SUMIFS($G$5:$G$204,$B$5:$B$204,B167)-SUMIFS($H$5:$H$204,$B$5:$B$204,B167))</x:f>
      </x:c>
      <x:c r="O167" s="11"/>
      <x:c r="P167" s="2"/>
      <x:c r="Q167" s="2"/>
    </x:row>
    <x:row r="168">
      <x:c r="A168" s="65"/>
      <x:c r="B168" s="11"/>
      <x:c r="C168" s="11"/>
      <x:c r="D168" s="11"/>
      <x:c r="E168" s="11"/>
      <x:c r="F168" s="11"/>
      <x:c r="G168" s="66"/>
      <x:c r="H168" s="66"/>
      <x:c r="I168" s="11"/>
      <x:c r="J168" s="11"/>
      <x:c r="K168" s="11"/>
      <x:c r="L168" s="11"/>
      <x:c r="M168" s="11"/>
      <x:c r="N168" s="70" t="str">
        <x:f>IF(B168="","",SUMIFS($G$5:$G$204,$B$5:$B$204,B168)-SUMIFS($H$5:$H$204,$B$5:$B$204,B168))</x:f>
      </x:c>
      <x:c r="O168" s="11"/>
      <x:c r="P168" s="2"/>
      <x:c r="Q168" s="2"/>
    </x:row>
    <x:row r="169">
      <x:c r="A169" s="65"/>
      <x:c r="B169" s="11"/>
      <x:c r="C169" s="11"/>
      <x:c r="D169" s="11"/>
      <x:c r="E169" s="11"/>
      <x:c r="F169" s="11"/>
      <x:c r="G169" s="66"/>
      <x:c r="H169" s="66"/>
      <x:c r="I169" s="11"/>
      <x:c r="J169" s="11"/>
      <x:c r="K169" s="11"/>
      <x:c r="L169" s="11"/>
      <x:c r="M169" s="11"/>
      <x:c r="N169" s="70" t="str">
        <x:f>IF(B169="","",SUMIFS($G$5:$G$204,$B$5:$B$204,B169)-SUMIFS($H$5:$H$204,$B$5:$B$204,B169))</x:f>
      </x:c>
      <x:c r="O169" s="11"/>
      <x:c r="P169" s="2"/>
      <x:c r="Q169" s="2"/>
    </x:row>
    <x:row r="170">
      <x:c r="A170" s="65"/>
      <x:c r="B170" s="11"/>
      <x:c r="C170" s="11"/>
      <x:c r="D170" s="11"/>
      <x:c r="E170" s="11"/>
      <x:c r="F170" s="11"/>
      <x:c r="G170" s="66"/>
      <x:c r="H170" s="66"/>
      <x:c r="I170" s="11"/>
      <x:c r="J170" s="11"/>
      <x:c r="K170" s="11"/>
      <x:c r="L170" s="11"/>
      <x:c r="M170" s="11"/>
      <x:c r="N170" s="70" t="str">
        <x:f>IF(B170="","",SUMIFS($G$5:$G$204,$B$5:$B$204,B170)-SUMIFS($H$5:$H$204,$B$5:$B$204,B170))</x:f>
      </x:c>
      <x:c r="O170" s="11"/>
      <x:c r="P170" s="2"/>
      <x:c r="Q170" s="2"/>
    </x:row>
    <x:row r="171">
      <x:c r="A171" s="65"/>
      <x:c r="B171" s="11"/>
      <x:c r="C171" s="11"/>
      <x:c r="D171" s="11"/>
      <x:c r="E171" s="11"/>
      <x:c r="F171" s="11"/>
      <x:c r="G171" s="66"/>
      <x:c r="H171" s="66"/>
      <x:c r="I171" s="11"/>
      <x:c r="J171" s="11"/>
      <x:c r="K171" s="11"/>
      <x:c r="L171" s="11"/>
      <x:c r="M171" s="11"/>
      <x:c r="N171" s="70" t="str">
        <x:f>IF(B171="","",SUMIFS($G$5:$G$204,$B$5:$B$204,B171)-SUMIFS($H$5:$H$204,$B$5:$B$204,B171))</x:f>
      </x:c>
      <x:c r="O171" s="11"/>
      <x:c r="P171" s="2"/>
      <x:c r="Q171" s="2"/>
    </x:row>
    <x:row r="172">
      <x:c r="A172" s="65"/>
      <x:c r="B172" s="11"/>
      <x:c r="C172" s="11"/>
      <x:c r="D172" s="11"/>
      <x:c r="E172" s="11"/>
      <x:c r="F172" s="11"/>
      <x:c r="G172" s="66"/>
      <x:c r="H172" s="66"/>
      <x:c r="I172" s="11"/>
      <x:c r="J172" s="11"/>
      <x:c r="K172" s="11"/>
      <x:c r="L172" s="11"/>
      <x:c r="M172" s="11"/>
      <x:c r="N172" s="70" t="str">
        <x:f>IF(B172="","",SUMIFS($G$5:$G$204,$B$5:$B$204,B172)-SUMIFS($H$5:$H$204,$B$5:$B$204,B172))</x:f>
      </x:c>
      <x:c r="O172" s="11"/>
      <x:c r="P172" s="2"/>
      <x:c r="Q172" s="2"/>
    </x:row>
    <x:row r="173">
      <x:c r="A173" s="65"/>
      <x:c r="B173" s="11"/>
      <x:c r="C173" s="11"/>
      <x:c r="D173" s="11"/>
      <x:c r="E173" s="11"/>
      <x:c r="F173" s="11"/>
      <x:c r="G173" s="66"/>
      <x:c r="H173" s="66"/>
      <x:c r="I173" s="11"/>
      <x:c r="J173" s="11"/>
      <x:c r="K173" s="11"/>
      <x:c r="L173" s="11"/>
      <x:c r="M173" s="11"/>
      <x:c r="N173" s="70" t="str">
        <x:f>IF(B173="","",SUMIFS($G$5:$G$204,$B$5:$B$204,B173)-SUMIFS($H$5:$H$204,$B$5:$B$204,B173))</x:f>
      </x:c>
      <x:c r="O173" s="11"/>
      <x:c r="P173" s="2"/>
      <x:c r="Q173" s="2"/>
    </x:row>
    <x:row r="174">
      <x:c r="A174" s="65"/>
      <x:c r="B174" s="11"/>
      <x:c r="C174" s="11"/>
      <x:c r="D174" s="11"/>
      <x:c r="E174" s="11"/>
      <x:c r="F174" s="11"/>
      <x:c r="G174" s="66"/>
      <x:c r="H174" s="66"/>
      <x:c r="I174" s="11"/>
      <x:c r="J174" s="11"/>
      <x:c r="K174" s="11"/>
      <x:c r="L174" s="11"/>
      <x:c r="M174" s="11"/>
      <x:c r="N174" s="70" t="str">
        <x:f>IF(B174="","",SUMIFS($G$5:$G$204,$B$5:$B$204,B174)-SUMIFS($H$5:$H$204,$B$5:$B$204,B174))</x:f>
      </x:c>
      <x:c r="O174" s="11"/>
      <x:c r="P174" s="2"/>
      <x:c r="Q174" s="2"/>
    </x:row>
    <x:row r="175">
      <x:c r="A175" s="65"/>
      <x:c r="B175" s="11"/>
      <x:c r="C175" s="11"/>
      <x:c r="D175" s="11"/>
      <x:c r="E175" s="11"/>
      <x:c r="F175" s="11"/>
      <x:c r="G175" s="66"/>
      <x:c r="H175" s="66"/>
      <x:c r="I175" s="11"/>
      <x:c r="J175" s="11"/>
      <x:c r="K175" s="11"/>
      <x:c r="L175" s="11"/>
      <x:c r="M175" s="11"/>
      <x:c r="N175" s="70" t="str">
        <x:f>IF(B175="","",SUMIFS($G$5:$G$204,$B$5:$B$204,B175)-SUMIFS($H$5:$H$204,$B$5:$B$204,B175))</x:f>
      </x:c>
      <x:c r="O175" s="11"/>
      <x:c r="P175" s="2"/>
      <x:c r="Q175" s="2"/>
    </x:row>
    <x:row r="176">
      <x:c r="A176" s="65"/>
      <x:c r="B176" s="11"/>
      <x:c r="C176" s="11"/>
      <x:c r="D176" s="11"/>
      <x:c r="E176" s="11"/>
      <x:c r="F176" s="11"/>
      <x:c r="G176" s="66"/>
      <x:c r="H176" s="66"/>
      <x:c r="I176" s="11"/>
      <x:c r="J176" s="11"/>
      <x:c r="K176" s="11"/>
      <x:c r="L176" s="11"/>
      <x:c r="M176" s="11"/>
      <x:c r="N176" s="70" t="str">
        <x:f>IF(B176="","",SUMIFS($G$5:$G$204,$B$5:$B$204,B176)-SUMIFS($H$5:$H$204,$B$5:$B$204,B176))</x:f>
      </x:c>
      <x:c r="O176" s="11"/>
      <x:c r="P176" s="2"/>
      <x:c r="Q176" s="2"/>
    </x:row>
    <x:row r="177">
      <x:c r="A177" s="65"/>
      <x:c r="B177" s="11"/>
      <x:c r="C177" s="11"/>
      <x:c r="D177" s="11"/>
      <x:c r="E177" s="11"/>
      <x:c r="F177" s="11"/>
      <x:c r="G177" s="66"/>
      <x:c r="H177" s="66"/>
      <x:c r="I177" s="11"/>
      <x:c r="J177" s="11"/>
      <x:c r="K177" s="11"/>
      <x:c r="L177" s="11"/>
      <x:c r="M177" s="11"/>
      <x:c r="N177" s="70" t="str">
        <x:f>IF(B177="","",SUMIFS($G$5:$G$204,$B$5:$B$204,B177)-SUMIFS($H$5:$H$204,$B$5:$B$204,B177))</x:f>
      </x:c>
      <x:c r="O177" s="11"/>
      <x:c r="P177" s="2"/>
      <x:c r="Q177" s="2"/>
    </x:row>
    <x:row r="178">
      <x:c r="A178" s="65"/>
      <x:c r="B178" s="11"/>
      <x:c r="C178" s="11"/>
      <x:c r="D178" s="11"/>
      <x:c r="E178" s="11"/>
      <x:c r="F178" s="11"/>
      <x:c r="G178" s="66"/>
      <x:c r="H178" s="66"/>
      <x:c r="I178" s="11"/>
      <x:c r="J178" s="11"/>
      <x:c r="K178" s="11"/>
      <x:c r="L178" s="11"/>
      <x:c r="M178" s="11"/>
      <x:c r="N178" s="70" t="str">
        <x:f>IF(B178="","",SUMIFS($G$5:$G$204,$B$5:$B$204,B178)-SUMIFS($H$5:$H$204,$B$5:$B$204,B178))</x:f>
      </x:c>
      <x:c r="O178" s="11"/>
      <x:c r="P178" s="2"/>
      <x:c r="Q178" s="2"/>
    </x:row>
    <x:row r="179">
      <x:c r="A179" s="65"/>
      <x:c r="B179" s="11"/>
      <x:c r="C179" s="11"/>
      <x:c r="D179" s="11"/>
      <x:c r="E179" s="11"/>
      <x:c r="F179" s="11"/>
      <x:c r="G179" s="66"/>
      <x:c r="H179" s="66"/>
      <x:c r="I179" s="11"/>
      <x:c r="J179" s="11"/>
      <x:c r="K179" s="11"/>
      <x:c r="L179" s="11"/>
      <x:c r="M179" s="11"/>
      <x:c r="N179" s="70" t="str">
        <x:f>IF(B179="","",SUMIFS($G$5:$G$204,$B$5:$B$204,B179)-SUMIFS($H$5:$H$204,$B$5:$B$204,B179))</x:f>
      </x:c>
      <x:c r="O179" s="11"/>
      <x:c r="P179" s="2"/>
      <x:c r="Q179" s="2"/>
    </x:row>
    <x:row r="180">
      <x:c r="A180" s="65"/>
      <x:c r="B180" s="11"/>
      <x:c r="C180" s="11"/>
      <x:c r="D180" s="11"/>
      <x:c r="E180" s="11"/>
      <x:c r="F180" s="11"/>
      <x:c r="G180" s="66"/>
      <x:c r="H180" s="66"/>
      <x:c r="I180" s="11"/>
      <x:c r="J180" s="11"/>
      <x:c r="K180" s="11"/>
      <x:c r="L180" s="11"/>
      <x:c r="M180" s="11"/>
      <x:c r="N180" s="70" t="str">
        <x:f>IF(B180="","",SUMIFS($G$5:$G$204,$B$5:$B$204,B180)-SUMIFS($H$5:$H$204,$B$5:$B$204,B180))</x:f>
      </x:c>
      <x:c r="O180" s="11"/>
      <x:c r="P180" s="2"/>
      <x:c r="Q180" s="2"/>
    </x:row>
    <x:row r="181">
      <x:c r="A181" s="65"/>
      <x:c r="B181" s="11"/>
      <x:c r="C181" s="11"/>
      <x:c r="D181" s="11"/>
      <x:c r="E181" s="11"/>
      <x:c r="F181" s="11"/>
      <x:c r="G181" s="66"/>
      <x:c r="H181" s="66"/>
      <x:c r="I181" s="11"/>
      <x:c r="J181" s="11"/>
      <x:c r="K181" s="11"/>
      <x:c r="L181" s="11"/>
      <x:c r="M181" s="11"/>
      <x:c r="N181" s="70" t="str">
        <x:f>IF(B181="","",SUMIFS($G$5:$G$204,$B$5:$B$204,B181)-SUMIFS($H$5:$H$204,$B$5:$B$204,B181))</x:f>
      </x:c>
      <x:c r="O181" s="11"/>
      <x:c r="P181" s="2"/>
      <x:c r="Q181" s="2"/>
    </x:row>
    <x:row r="182">
      <x:c r="A182" s="65"/>
      <x:c r="B182" s="11"/>
      <x:c r="C182" s="11"/>
      <x:c r="D182" s="11"/>
      <x:c r="E182" s="11"/>
      <x:c r="F182" s="11"/>
      <x:c r="G182" s="66"/>
      <x:c r="H182" s="66"/>
      <x:c r="I182" s="11"/>
      <x:c r="J182" s="11"/>
      <x:c r="K182" s="11"/>
      <x:c r="L182" s="11"/>
      <x:c r="M182" s="11"/>
      <x:c r="N182" s="70" t="str">
        <x:f>IF(B182="","",SUMIFS($G$5:$G$204,$B$5:$B$204,B182)-SUMIFS($H$5:$H$204,$B$5:$B$204,B182))</x:f>
      </x:c>
      <x:c r="O182" s="11"/>
      <x:c r="P182" s="2"/>
      <x:c r="Q182" s="2"/>
    </x:row>
    <x:row r="183">
      <x:c r="A183" s="65"/>
      <x:c r="B183" s="11"/>
      <x:c r="C183" s="11"/>
      <x:c r="D183" s="11"/>
      <x:c r="E183" s="11"/>
      <x:c r="F183" s="11"/>
      <x:c r="G183" s="66"/>
      <x:c r="H183" s="66"/>
      <x:c r="I183" s="11"/>
      <x:c r="J183" s="11"/>
      <x:c r="K183" s="11"/>
      <x:c r="L183" s="11"/>
      <x:c r="M183" s="11"/>
      <x:c r="N183" s="70" t="str">
        <x:f>IF(B183="","",SUMIFS($G$5:$G$204,$B$5:$B$204,B183)-SUMIFS($H$5:$H$204,$B$5:$B$204,B183))</x:f>
      </x:c>
      <x:c r="O183" s="11"/>
      <x:c r="P183" s="2"/>
      <x:c r="Q183" s="2"/>
    </x:row>
    <x:row r="184">
      <x:c r="A184" s="65"/>
      <x:c r="B184" s="11"/>
      <x:c r="C184" s="11"/>
      <x:c r="D184" s="11"/>
      <x:c r="E184" s="11"/>
      <x:c r="F184" s="11"/>
      <x:c r="G184" s="66"/>
      <x:c r="H184" s="66"/>
      <x:c r="I184" s="11"/>
      <x:c r="J184" s="11"/>
      <x:c r="K184" s="11"/>
      <x:c r="L184" s="11"/>
      <x:c r="M184" s="11"/>
      <x:c r="N184" s="70" t="str">
        <x:f>IF(B184="","",SUMIFS($G$5:$G$204,$B$5:$B$204,B184)-SUMIFS($H$5:$H$204,$B$5:$B$204,B184))</x:f>
      </x:c>
      <x:c r="O184" s="11"/>
      <x:c r="P184" s="2"/>
      <x:c r="Q184" s="2"/>
    </x:row>
    <x:row r="185">
      <x:c r="A185" s="65"/>
      <x:c r="B185" s="11"/>
      <x:c r="C185" s="11"/>
      <x:c r="D185" s="11"/>
      <x:c r="E185" s="11"/>
      <x:c r="F185" s="11"/>
      <x:c r="G185" s="66"/>
      <x:c r="H185" s="66"/>
      <x:c r="I185" s="11"/>
      <x:c r="J185" s="11"/>
      <x:c r="K185" s="11"/>
      <x:c r="L185" s="11"/>
      <x:c r="M185" s="11"/>
      <x:c r="N185" s="70" t="str">
        <x:f>IF(B185="","",SUMIFS($G$5:$G$204,$B$5:$B$204,B185)-SUMIFS($H$5:$H$204,$B$5:$B$204,B185))</x:f>
      </x:c>
      <x:c r="O185" s="11"/>
      <x:c r="P185" s="2"/>
      <x:c r="Q185" s="2"/>
    </x:row>
    <x:row r="186">
      <x:c r="A186" s="65"/>
      <x:c r="B186" s="11"/>
      <x:c r="C186" s="11"/>
      <x:c r="D186" s="11"/>
      <x:c r="E186" s="11"/>
      <x:c r="F186" s="11"/>
      <x:c r="G186" s="66"/>
      <x:c r="H186" s="66"/>
      <x:c r="I186" s="11"/>
      <x:c r="J186" s="11"/>
      <x:c r="K186" s="11"/>
      <x:c r="L186" s="11"/>
      <x:c r="M186" s="11"/>
      <x:c r="N186" s="70" t="str">
        <x:f>IF(B186="","",SUMIFS($G$5:$G$204,$B$5:$B$204,B186)-SUMIFS($H$5:$H$204,$B$5:$B$204,B186))</x:f>
      </x:c>
      <x:c r="O186" s="11"/>
      <x:c r="P186" s="2"/>
      <x:c r="Q186" s="2"/>
    </x:row>
    <x:row r="187">
      <x:c r="A187" s="65"/>
      <x:c r="B187" s="11"/>
      <x:c r="C187" s="11"/>
      <x:c r="D187" s="11"/>
      <x:c r="E187" s="11"/>
      <x:c r="F187" s="11"/>
      <x:c r="G187" s="66"/>
      <x:c r="H187" s="66"/>
      <x:c r="I187" s="11"/>
      <x:c r="J187" s="11"/>
      <x:c r="K187" s="11"/>
      <x:c r="L187" s="11"/>
      <x:c r="M187" s="11"/>
      <x:c r="N187" s="70" t="str">
        <x:f>IF(B187="","",SUMIFS($G$5:$G$204,$B$5:$B$204,B187)-SUMIFS($H$5:$H$204,$B$5:$B$204,B187))</x:f>
      </x:c>
      <x:c r="O187" s="11"/>
      <x:c r="P187" s="2"/>
      <x:c r="Q187" s="2"/>
    </x:row>
    <x:row r="188">
      <x:c r="A188" s="65"/>
      <x:c r="B188" s="11"/>
      <x:c r="C188" s="11"/>
      <x:c r="D188" s="11"/>
      <x:c r="E188" s="11"/>
      <x:c r="F188" s="11"/>
      <x:c r="G188" s="66"/>
      <x:c r="H188" s="66"/>
      <x:c r="I188" s="11"/>
      <x:c r="J188" s="11"/>
      <x:c r="K188" s="11"/>
      <x:c r="L188" s="11"/>
      <x:c r="M188" s="11"/>
      <x:c r="N188" s="70" t="str">
        <x:f>IF(B188="","",SUMIFS($G$5:$G$204,$B$5:$B$204,B188)-SUMIFS($H$5:$H$204,$B$5:$B$204,B188))</x:f>
      </x:c>
      <x:c r="O188" s="11"/>
      <x:c r="P188" s="2"/>
      <x:c r="Q188" s="2"/>
    </x:row>
    <x:row r="189">
      <x:c r="A189" s="65"/>
      <x:c r="B189" s="11"/>
      <x:c r="C189" s="11"/>
      <x:c r="D189" s="11"/>
      <x:c r="E189" s="11"/>
      <x:c r="F189" s="11"/>
      <x:c r="G189" s="66"/>
      <x:c r="H189" s="66"/>
      <x:c r="I189" s="11"/>
      <x:c r="J189" s="11"/>
      <x:c r="K189" s="11"/>
      <x:c r="L189" s="11"/>
      <x:c r="M189" s="11"/>
      <x:c r="N189" s="70" t="str">
        <x:f>IF(B189="","",SUMIFS($G$5:$G$204,$B$5:$B$204,B189)-SUMIFS($H$5:$H$204,$B$5:$B$204,B189))</x:f>
      </x:c>
      <x:c r="O189" s="11"/>
      <x:c r="P189" s="2"/>
      <x:c r="Q189" s="2"/>
    </x:row>
    <x:row r="190">
      <x:c r="A190" s="65"/>
      <x:c r="B190" s="11"/>
      <x:c r="C190" s="11"/>
      <x:c r="D190" s="11"/>
      <x:c r="E190" s="11"/>
      <x:c r="F190" s="11"/>
      <x:c r="G190" s="66"/>
      <x:c r="H190" s="66"/>
      <x:c r="I190" s="11"/>
      <x:c r="J190" s="11"/>
      <x:c r="K190" s="11"/>
      <x:c r="L190" s="11"/>
      <x:c r="M190" s="11"/>
      <x:c r="N190" s="70" t="str">
        <x:f>IF(B190="","",SUMIFS($G$5:$G$204,$B$5:$B$204,B190)-SUMIFS($H$5:$H$204,$B$5:$B$204,B190))</x:f>
      </x:c>
      <x:c r="O190" s="11"/>
      <x:c r="P190" s="2"/>
      <x:c r="Q190" s="2"/>
    </x:row>
    <x:row r="191">
      <x:c r="A191" s="65"/>
      <x:c r="B191" s="11"/>
      <x:c r="C191" s="11"/>
      <x:c r="D191" s="11"/>
      <x:c r="E191" s="11"/>
      <x:c r="F191" s="11"/>
      <x:c r="G191" s="66"/>
      <x:c r="H191" s="66"/>
      <x:c r="I191" s="11"/>
      <x:c r="J191" s="11"/>
      <x:c r="K191" s="11"/>
      <x:c r="L191" s="11"/>
      <x:c r="M191" s="11"/>
      <x:c r="N191" s="70" t="str">
        <x:f>IF(B191="","",SUMIFS($G$5:$G$204,$B$5:$B$204,B191)-SUMIFS($H$5:$H$204,$B$5:$B$204,B191))</x:f>
      </x:c>
      <x:c r="O191" s="11"/>
      <x:c r="P191" s="2"/>
      <x:c r="Q191" s="2"/>
    </x:row>
    <x:row r="192">
      <x:c r="A192" s="65"/>
      <x:c r="B192" s="11"/>
      <x:c r="C192" s="11"/>
      <x:c r="D192" s="11"/>
      <x:c r="E192" s="11"/>
      <x:c r="F192" s="11"/>
      <x:c r="G192" s="66"/>
      <x:c r="H192" s="66"/>
      <x:c r="I192" s="11"/>
      <x:c r="J192" s="11"/>
      <x:c r="K192" s="11"/>
      <x:c r="L192" s="11"/>
      <x:c r="M192" s="11"/>
      <x:c r="N192" s="70" t="str">
        <x:f>IF(B192="","",SUMIFS($G$5:$G$204,$B$5:$B$204,B192)-SUMIFS($H$5:$H$204,$B$5:$B$204,B192))</x:f>
      </x:c>
      <x:c r="O192" s="11"/>
      <x:c r="P192" s="2"/>
      <x:c r="Q192" s="2"/>
    </x:row>
    <x:row r="193">
      <x:c r="A193" s="65"/>
      <x:c r="B193" s="11"/>
      <x:c r="C193" s="11"/>
      <x:c r="D193" s="11"/>
      <x:c r="E193" s="11"/>
      <x:c r="F193" s="11"/>
      <x:c r="G193" s="66"/>
      <x:c r="H193" s="66"/>
      <x:c r="I193" s="11"/>
      <x:c r="J193" s="11"/>
      <x:c r="K193" s="11"/>
      <x:c r="L193" s="11"/>
      <x:c r="M193" s="11"/>
      <x:c r="N193" s="70" t="str">
        <x:f>IF(B193="","",SUMIFS($G$5:$G$204,$B$5:$B$204,B193)-SUMIFS($H$5:$H$204,$B$5:$B$204,B193))</x:f>
      </x:c>
      <x:c r="O193" s="11"/>
      <x:c r="P193" s="2"/>
      <x:c r="Q193" s="2"/>
    </x:row>
    <x:row r="194">
      <x:c r="A194" s="65"/>
      <x:c r="B194" s="11"/>
      <x:c r="C194" s="11"/>
      <x:c r="D194" s="11"/>
      <x:c r="E194" s="11"/>
      <x:c r="F194" s="11"/>
      <x:c r="G194" s="66"/>
      <x:c r="H194" s="66"/>
      <x:c r="I194" s="11"/>
      <x:c r="J194" s="11"/>
      <x:c r="K194" s="11"/>
      <x:c r="L194" s="11"/>
      <x:c r="M194" s="11"/>
      <x:c r="N194" s="70" t="str">
        <x:f>IF(B194="","",SUMIFS($G$5:$G$204,$B$5:$B$204,B194)-SUMIFS($H$5:$H$204,$B$5:$B$204,B194))</x:f>
      </x:c>
      <x:c r="O194" s="11"/>
      <x:c r="P194" s="2"/>
      <x:c r="Q194" s="2"/>
    </x:row>
    <x:row r="195">
      <x:c r="A195" s="65"/>
      <x:c r="B195" s="11"/>
      <x:c r="C195" s="11"/>
      <x:c r="D195" s="11"/>
      <x:c r="E195" s="11"/>
      <x:c r="F195" s="11"/>
      <x:c r="G195" s="66"/>
      <x:c r="H195" s="66"/>
      <x:c r="I195" s="11"/>
      <x:c r="J195" s="11"/>
      <x:c r="K195" s="11"/>
      <x:c r="L195" s="11"/>
      <x:c r="M195" s="11"/>
      <x:c r="N195" s="70" t="str">
        <x:f>IF(B195="","",SUMIFS($G$5:$G$204,$B$5:$B$204,B195)-SUMIFS($H$5:$H$204,$B$5:$B$204,B195))</x:f>
      </x:c>
      <x:c r="O195" s="11"/>
      <x:c r="P195" s="2"/>
      <x:c r="Q195" s="2"/>
    </x:row>
    <x:row r="196">
      <x:c r="A196" s="65"/>
      <x:c r="B196" s="11"/>
      <x:c r="C196" s="11"/>
      <x:c r="D196" s="11"/>
      <x:c r="E196" s="11"/>
      <x:c r="F196" s="11"/>
      <x:c r="G196" s="66"/>
      <x:c r="H196" s="66"/>
      <x:c r="I196" s="11"/>
      <x:c r="J196" s="11"/>
      <x:c r="K196" s="11"/>
      <x:c r="L196" s="11"/>
      <x:c r="M196" s="11"/>
      <x:c r="N196" s="70" t="str">
        <x:f>IF(B196="","",SUMIFS($G$5:$G$204,$B$5:$B$204,B196)-SUMIFS($H$5:$H$204,$B$5:$B$204,B196))</x:f>
      </x:c>
      <x:c r="O196" s="11"/>
      <x:c r="P196" s="2"/>
      <x:c r="Q196" s="2"/>
    </x:row>
    <x:row r="197">
      <x:c r="A197" s="65"/>
      <x:c r="B197" s="11"/>
      <x:c r="C197" s="11"/>
      <x:c r="D197" s="11"/>
      <x:c r="E197" s="11"/>
      <x:c r="F197" s="11"/>
      <x:c r="G197" s="66"/>
      <x:c r="H197" s="66"/>
      <x:c r="I197" s="11"/>
      <x:c r="J197" s="11"/>
      <x:c r="K197" s="11"/>
      <x:c r="L197" s="11"/>
      <x:c r="M197" s="11"/>
      <x:c r="N197" s="70" t="str">
        <x:f>IF(B197="","",SUMIFS($G$5:$G$204,$B$5:$B$204,B197)-SUMIFS($H$5:$H$204,$B$5:$B$204,B197))</x:f>
      </x:c>
      <x:c r="O197" s="11"/>
      <x:c r="P197" s="2"/>
      <x:c r="Q197" s="2"/>
    </x:row>
    <x:row r="198">
      <x:c r="A198" s="65"/>
      <x:c r="B198" s="11"/>
      <x:c r="C198" s="11"/>
      <x:c r="D198" s="11"/>
      <x:c r="E198" s="11"/>
      <x:c r="F198" s="11"/>
      <x:c r="G198" s="66"/>
      <x:c r="H198" s="66"/>
      <x:c r="I198" s="11"/>
      <x:c r="J198" s="11"/>
      <x:c r="K198" s="11"/>
      <x:c r="L198" s="11"/>
      <x:c r="M198" s="11"/>
      <x:c r="N198" s="70" t="str">
        <x:f>IF(B198="","",SUMIFS($G$5:$G$204,$B$5:$B$204,B198)-SUMIFS($H$5:$H$204,$B$5:$B$204,B198))</x:f>
      </x:c>
      <x:c r="O198" s="11"/>
      <x:c r="P198" s="2"/>
      <x:c r="Q198" s="2"/>
    </x:row>
    <x:row r="199">
      <x:c r="A199" s="65"/>
      <x:c r="B199" s="11"/>
      <x:c r="C199" s="11"/>
      <x:c r="D199" s="11"/>
      <x:c r="E199" s="11"/>
      <x:c r="F199" s="11"/>
      <x:c r="G199" s="66"/>
      <x:c r="H199" s="66"/>
      <x:c r="I199" s="11"/>
      <x:c r="J199" s="11"/>
      <x:c r="K199" s="11"/>
      <x:c r="L199" s="11"/>
      <x:c r="M199" s="11"/>
      <x:c r="N199" s="70" t="str">
        <x:f>IF(B199="","",SUMIFS($G$5:$G$204,$B$5:$B$204,B199)-SUMIFS($H$5:$H$204,$B$5:$B$204,B199))</x:f>
      </x:c>
      <x:c r="O199" s="11"/>
      <x:c r="P199" s="2"/>
      <x:c r="Q199" s="2"/>
    </x:row>
    <x:row r="200">
      <x:c r="A200" s="65"/>
      <x:c r="B200" s="11"/>
      <x:c r="C200" s="11"/>
      <x:c r="D200" s="11"/>
      <x:c r="E200" s="11"/>
      <x:c r="F200" s="11"/>
      <x:c r="G200" s="66"/>
      <x:c r="H200" s="66"/>
      <x:c r="I200" s="11"/>
      <x:c r="J200" s="11"/>
      <x:c r="K200" s="11"/>
      <x:c r="L200" s="11"/>
      <x:c r="M200" s="11"/>
      <x:c r="N200" s="70" t="str">
        <x:f>IF(B200="","",SUMIFS($G$5:$G$204,$B$5:$B$204,B200)-SUMIFS($H$5:$H$204,$B$5:$B$204,B200))</x:f>
      </x:c>
      <x:c r="O200" s="11"/>
      <x:c r="P200" s="2"/>
      <x:c r="Q200" s="2"/>
    </x:row>
    <x:row r="201">
      <x:c r="A201" s="73"/>
      <x:c r="B201" s="69"/>
      <x:c r="C201" s="69"/>
      <x:c r="D201" s="69"/>
      <x:c r="E201" s="69"/>
      <x:c r="F201" s="69"/>
      <x:c r="G201" s="72"/>
      <x:c r="H201" s="72"/>
      <x:c r="I201" s="69"/>
      <x:c r="J201" s="69"/>
      <x:c r="K201" s="69"/>
      <x:c r="L201" s="69"/>
      <x:c r="M201" s="69"/>
      <x:c r="N201" s="71" t="str">
        <x:f>IF(B201="","",SUMIFS($G$5:$G$204,$B$5:$B$204,B201)-SUMIFS($H$5:$H$204,$B$5:$B$204,B201))</x:f>
      </x:c>
      <x:c r="O201" s="69"/>
    </x:row>
    <x:row r="202">
      <x:c r="A202" s="73"/>
      <x:c r="B202" s="69"/>
      <x:c r="C202" s="69"/>
      <x:c r="D202" s="69"/>
      <x:c r="E202" s="69"/>
      <x:c r="F202" s="69"/>
      <x:c r="G202" s="72"/>
      <x:c r="H202" s="72"/>
      <x:c r="I202" s="69"/>
      <x:c r="J202" s="69"/>
      <x:c r="K202" s="69"/>
      <x:c r="L202" s="69"/>
      <x:c r="M202" s="69"/>
      <x:c r="N202" s="71" t="str">
        <x:f>IF(B202="","",SUMIFS($G$5:$G$204,$B$5:$B$204,B202)-SUMIFS($H$5:$H$204,$B$5:$B$204,B202))</x:f>
      </x:c>
      <x:c r="O202" s="69"/>
    </x:row>
    <x:row r="203">
      <x:c r="A203" s="73"/>
      <x:c r="B203" s="69"/>
      <x:c r="C203" s="69"/>
      <x:c r="D203" s="69"/>
      <x:c r="E203" s="69"/>
      <x:c r="F203" s="69"/>
      <x:c r="G203" s="72"/>
      <x:c r="H203" s="72"/>
      <x:c r="I203" s="69"/>
      <x:c r="J203" s="69"/>
      <x:c r="K203" s="69"/>
      <x:c r="L203" s="69"/>
      <x:c r="M203" s="69"/>
      <x:c r="N203" s="71" t="str">
        <x:f>IF(B203="","",SUMIFS($G$5:$G$204,$B$5:$B$204,B203)-SUMIFS($H$5:$H$204,$B$5:$B$204,B203))</x:f>
      </x:c>
      <x:c r="O203" s="69"/>
    </x:row>
    <x:row r="204">
      <x:c r="A204" s="73"/>
      <x:c r="B204" s="69"/>
      <x:c r="C204" s="69"/>
      <x:c r="D204" s="69"/>
      <x:c r="E204" s="69"/>
      <x:c r="F204" s="69"/>
      <x:c r="G204" s="72"/>
      <x:c r="H204" s="72"/>
      <x:c r="I204" s="69"/>
      <x:c r="J204" s="69"/>
      <x:c r="K204" s="69"/>
      <x:c r="L204" s="69"/>
      <x:c r="M204" s="69"/>
      <x:c r="N204" s="71" t="str">
        <x:f>IF(B204="","",SUMIFS($G$5:$G$204,$B$5:$B$204,B204)-SUMIFS($H$5:$H$204,$B$5:$B$204,B204))</x:f>
      </x:c>
      <x:c r="O204" s="69"/>
    </x:row>
  </x:sheetData>
  <x:mergeCells>
    <x:mergeCell ref="A2:O2"/>
  </x:mergeCells>
  <x:conditionalFormatting sqref="N5:N204">
    <x:cfRule type="cellIs" dxfId="0" priority="1" operator="notEqual">
      <x:formula>0</x:formula>
    </x:cfRule>
  </x:conditionalFormatting>
  <x:dataValidations count="1">
    <x:dataValidation type="list" sqref="I5:I204">
      <x:formula1>"非损益,收入,成本费用,所得税费用"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2183f9d76a4e5c"/>
  </x:tableParts>
</x:worksheet>
</file>

<file path=xl/worksheets/sheet5.xml><?xml version="1.0" encoding="utf-8"?>
<x:worksheet xmlns:x="http://schemas.openxmlformats.org/spreadsheetml/2006/main">
  <x:sheetPr>
    <x:tabColor rgb="FFA9D18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科目余额（由记账凭证汇总）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0" customHeight="1">
      <x:c r="A4" s="74" t="str">
        <x:v>科目编码</x:v>
      </x:c>
      <x:c r="B4" s="75" t="str">
        <x:v>科目名称</x:v>
      </x:c>
      <x:c r="C4" s="75" t="str">
        <x:v>余额方向</x:v>
      </x:c>
      <x:c r="D4" s="75" t="str">
        <x:v>期初余额</x:v>
      </x:c>
      <x:c r="E4" s="75" t="str">
        <x:v>本期借方</x:v>
      </x:c>
      <x:c r="F4" s="75" t="str">
        <x:v>本期贷方</x:v>
      </x:c>
      <x:c r="G4" s="75" t="str">
        <x:v>期末余额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19" t="str">
        <x:v>1001</x:v>
      </x:c>
      <x:c r="B5" s="19" t="str">
        <x:v>库存现金</x:v>
      </x:c>
      <x:c r="C5" s="19" t="str">
        <x:v>借</x:v>
      </x:c>
      <x:c r="D5" s="76"/>
      <x:c r="E5" s="77" t="n">
        <x:f>SUMIFS('记账凭证'!$G$5:$G$204,'记账凭证'!$E$5:$E$204,A5)</x:f>
        <x:v>0</x:v>
      </x:c>
      <x:c r="F5" s="77" t="n">
        <x:f>SUMIFS('记账凭证'!$H$5:$H$204,'记账凭证'!$E$5:$E$204,A5)</x:f>
        <x:v>0</x:v>
      </x:c>
      <x:c r="G5" s="78" t="n">
        <x:f>IF(C5="借",D5+E5-F5,D5+F5-E5)</x:f>
        <x:v>0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19" t="str">
        <x:v>1002</x:v>
      </x:c>
      <x:c r="B6" s="19" t="str">
        <x:v>银行存款</x:v>
      </x:c>
      <x:c r="C6" s="19" t="str">
        <x:v>借</x:v>
      </x:c>
      <x:c r="D6" s="76"/>
      <x:c r="E6" s="77" t="n">
        <x:f>SUMIFS('记账凭证'!$G$5:$G$204,'记账凭证'!$E$5:$E$204,A6)</x:f>
        <x:v>20000</x:v>
      </x:c>
      <x:c r="F6" s="77" t="n">
        <x:f>SUMIFS('记账凭证'!$H$5:$H$204,'记账凭证'!$E$5:$E$204,A6)</x:f>
        <x:v>500</x:v>
      </x:c>
      <x:c r="G6" s="78" t="n">
        <x:f>IF(C6="借",D6+E6-F6,D6+F6-E6)</x:f>
        <x:v>19500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19" t="str">
        <x:v>1122</x:v>
      </x:c>
      <x:c r="B7" s="19" t="str">
        <x:v>应收账款</x:v>
      </x:c>
      <x:c r="C7" s="19" t="str">
        <x:v>借</x:v>
      </x:c>
      <x:c r="D7" s="76"/>
      <x:c r="E7" s="77" t="n">
        <x:f>SUMIFS('记账凭证'!$G$5:$G$204,'记账凭证'!$E$5:$E$204,A7)</x:f>
        <x:v>0</x:v>
      </x:c>
      <x:c r="F7" s="77" t="n">
        <x:f>SUMIFS('记账凭证'!$H$5:$H$204,'记账凭证'!$E$5:$E$204,A7)</x:f>
        <x:v>0</x:v>
      </x:c>
      <x:c r="G7" s="78" t="n">
        <x:f>IF(C7="借",D7+E7-F7,D7+F7-E7)</x:f>
        <x:v>0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19" t="str">
        <x:v>1221</x:v>
      </x:c>
      <x:c r="B8" s="19" t="str">
        <x:v>其他应收款</x:v>
      </x:c>
      <x:c r="C8" s="19" t="str">
        <x:v>借</x:v>
      </x:c>
      <x:c r="D8" s="76"/>
      <x:c r="E8" s="77" t="n">
        <x:f>SUMIFS('记账凭证'!$G$5:$G$204,'记账凭证'!$E$5:$E$204,A8)</x:f>
        <x:v>0</x:v>
      </x:c>
      <x:c r="F8" s="77" t="n">
        <x:f>SUMIFS('记账凭证'!$H$5:$H$204,'记账凭证'!$E$5:$E$204,A8)</x:f>
        <x:v>0</x:v>
      </x:c>
      <x:c r="G8" s="78" t="n">
        <x:f>IF(C8="借",D8+E8-F8,D8+F8-E8)</x:f>
        <x:v>0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19" t="str">
        <x:v>1601</x:v>
      </x:c>
      <x:c r="B9" s="19" t="str">
        <x:v>固定资产</x:v>
      </x:c>
      <x:c r="C9" s="19" t="str">
        <x:v>借</x:v>
      </x:c>
      <x:c r="D9" s="76"/>
      <x:c r="E9" s="77" t="n">
        <x:f>SUMIFS('记账凭证'!$G$5:$G$204,'记账凭证'!$E$5:$E$204,A9)</x:f>
        <x:v>0</x:v>
      </x:c>
      <x:c r="F9" s="77" t="n">
        <x:f>SUMIFS('记账凭证'!$H$5:$H$204,'记账凭证'!$E$5:$E$204,A9)</x:f>
        <x:v>0</x:v>
      </x:c>
      <x:c r="G9" s="78" t="n">
        <x:f>IF(C9="借",D9+E9-F9,D9+F9-E9)</x:f>
        <x:v>0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19" t="str">
        <x:v>1602</x:v>
      </x:c>
      <x:c r="B10" s="19" t="str">
        <x:v>累计折旧</x:v>
      </x:c>
      <x:c r="C10" s="19" t="str">
        <x:v>贷</x:v>
      </x:c>
      <x:c r="D10" s="76"/>
      <x:c r="E10" s="77" t="n">
        <x:f>SUMIFS('记账凭证'!$G$5:$G$204,'记账凭证'!$E$5:$E$204,A10)</x:f>
        <x:v>0</x:v>
      </x:c>
      <x:c r="F10" s="77" t="n">
        <x:f>SUMIFS('记账凭证'!$H$5:$H$204,'记账凭证'!$E$5:$E$204,A10)</x:f>
        <x:v>0</x:v>
      </x:c>
      <x:c r="G10" s="78" t="n">
        <x:f>IF(C10="借",D10+E10-F10,D10+F10-E10)</x:f>
        <x:v>0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19" t="str">
        <x:v>2001</x:v>
      </x:c>
      <x:c r="B11" s="19" t="str">
        <x:v>短期借款</x:v>
      </x:c>
      <x:c r="C11" s="19" t="str">
        <x:v>贷</x:v>
      </x:c>
      <x:c r="D11" s="76"/>
      <x:c r="E11" s="77" t="n">
        <x:f>SUMIFS('记账凭证'!$G$5:$G$204,'记账凭证'!$E$5:$E$204,A11)</x:f>
        <x:v>0</x:v>
      </x:c>
      <x:c r="F11" s="77" t="n">
        <x:f>SUMIFS('记账凭证'!$H$5:$H$204,'记账凭证'!$E$5:$E$204,A11)</x:f>
        <x:v>0</x:v>
      </x:c>
      <x:c r="G11" s="78" t="n">
        <x:f>IF(C11="借",D11+E11-F11,D11+F11-E11)</x:f>
        <x:v>0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19" t="str">
        <x:v>2202</x:v>
      </x:c>
      <x:c r="B12" s="19" t="str">
        <x:v>应付账款</x:v>
      </x:c>
      <x:c r="C12" s="19" t="str">
        <x:v>贷</x:v>
      </x:c>
      <x:c r="D12" s="76"/>
      <x:c r="E12" s="77" t="n">
        <x:f>SUMIFS('记账凭证'!$G$5:$G$204,'记账凭证'!$E$5:$E$204,A12)</x:f>
        <x:v>0</x:v>
      </x:c>
      <x:c r="F12" s="77" t="n">
        <x:f>SUMIFS('记账凭证'!$H$5:$H$204,'记账凭证'!$E$5:$E$204,A12)</x:f>
        <x:v>0</x:v>
      </x:c>
      <x:c r="G12" s="78" t="n">
        <x:f>IF(C12="借",D12+E12-F12,D12+F12-E12)</x:f>
        <x:v>0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19" t="str">
        <x:v>2211</x:v>
      </x:c>
      <x:c r="B13" s="19" t="str">
        <x:v>应付职工薪酬</x:v>
      </x:c>
      <x:c r="C13" s="19" t="str">
        <x:v>贷</x:v>
      </x:c>
      <x:c r="D13" s="76"/>
      <x:c r="E13" s="77" t="n">
        <x:f>SUMIFS('记账凭证'!$G$5:$G$204,'记账凭证'!$E$5:$E$204,A13)</x:f>
        <x:v>0</x:v>
      </x:c>
      <x:c r="F13" s="77" t="n">
        <x:f>SUMIFS('记账凭证'!$H$5:$H$204,'记账凭证'!$E$5:$E$204,A13)</x:f>
        <x:v>0</x:v>
      </x:c>
      <x:c r="G13" s="78" t="n">
        <x:f>IF(C13="借",D13+E13-F13,D13+F13-E13)</x:f>
        <x:v>0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19" t="str">
        <x:v>2221</x:v>
      </x:c>
      <x:c r="B14" s="19" t="str">
        <x:v>应交税费</x:v>
      </x:c>
      <x:c r="C14" s="19" t="str">
        <x:v>贷</x:v>
      </x:c>
      <x:c r="D14" s="76"/>
      <x:c r="E14" s="77" t="n">
        <x:f>SUMIFS('记账凭证'!$G$5:$G$204,'记账凭证'!$E$5:$E$204,A14)</x:f>
        <x:v>0</x:v>
      </x:c>
      <x:c r="F14" s="77" t="n">
        <x:f>SUMIFS('记账凭证'!$H$5:$H$204,'记账凭证'!$E$5:$E$204,A14)</x:f>
        <x:v>0</x:v>
      </x:c>
      <x:c r="G14" s="78" t="n">
        <x:f>IF(C14="借",D14+E14-F14,D14+F14-E14)</x:f>
        <x:v>0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19" t="str">
        <x:v>2241</x:v>
      </x:c>
      <x:c r="B15" s="19" t="str">
        <x:v>其他应付款—股东</x:v>
      </x:c>
      <x:c r="C15" s="19" t="str">
        <x:v>贷</x:v>
      </x:c>
      <x:c r="D15" s="76"/>
      <x:c r="E15" s="77" t="n">
        <x:f>SUMIFS('记账凭证'!$G$5:$G$204,'记账凭证'!$E$5:$E$204,A15)</x:f>
        <x:v>0</x:v>
      </x:c>
      <x:c r="F15" s="77" t="n">
        <x:f>SUMIFS('记账凭证'!$H$5:$H$204,'记账凭证'!$E$5:$E$204,A15)</x:f>
        <x:v>0</x:v>
      </x:c>
      <x:c r="G15" s="78" t="n">
        <x:f>IF(C15="借",D15+E15-F15,D15+F15-E15)</x:f>
        <x:v>0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19" t="str">
        <x:v>4001</x:v>
      </x:c>
      <x:c r="B16" s="19" t="str">
        <x:v>实收资本</x:v>
      </x:c>
      <x:c r="C16" s="19" t="str">
        <x:v>贷</x:v>
      </x:c>
      <x:c r="D16" s="76"/>
      <x:c r="E16" s="77" t="n">
        <x:f>SUMIFS('记账凭证'!$G$5:$G$204,'记账凭证'!$E$5:$E$204,A16)</x:f>
        <x:v>0</x:v>
      </x:c>
      <x:c r="F16" s="77" t="n">
        <x:f>SUMIFS('记账凭证'!$H$5:$H$204,'记账凭证'!$E$5:$E$204,A16)</x:f>
        <x:v>10000</x:v>
      </x:c>
      <x:c r="G16" s="78" t="n">
        <x:f>IF(C16="借",D16+E16-F16,D16+F16-E16)</x:f>
        <x:v>10000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19" t="str">
        <x:v>4002</x:v>
      </x:c>
      <x:c r="B17" s="19" t="str">
        <x:v>资本公积</x:v>
      </x:c>
      <x:c r="C17" s="19" t="str">
        <x:v>贷</x:v>
      </x:c>
      <x:c r="D17" s="76"/>
      <x:c r="E17" s="77" t="n">
        <x:f>SUMIFS('记账凭证'!$G$5:$G$204,'记账凭证'!$E$5:$E$204,A17)</x:f>
        <x:v>0</x:v>
      </x:c>
      <x:c r="F17" s="77" t="n">
        <x:f>SUMIFS('记账凭证'!$H$5:$H$204,'记账凭证'!$E$5:$E$204,A17)</x:f>
        <x:v>0</x:v>
      </x:c>
      <x:c r="G17" s="78" t="n">
        <x:f>IF(C17="借",D17+E17-F17,D17+F17-E17)</x:f>
        <x:v>0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19" t="str">
        <x:v>4101</x:v>
      </x:c>
      <x:c r="B18" s="19" t="str">
        <x:v>盈余公积</x:v>
      </x:c>
      <x:c r="C18" s="19" t="str">
        <x:v>贷</x:v>
      </x:c>
      <x:c r="D18" s="76"/>
      <x:c r="E18" s="77" t="n">
        <x:f>SUMIFS('记账凭证'!$G$5:$G$204,'记账凭证'!$E$5:$E$204,A18)</x:f>
        <x:v>0</x:v>
      </x:c>
      <x:c r="F18" s="77" t="n">
        <x:f>SUMIFS('记账凭证'!$H$5:$H$204,'记账凭证'!$E$5:$E$204,A18)</x:f>
        <x:v>0</x:v>
      </x:c>
      <x:c r="G18" s="78" t="n">
        <x:f>IF(C18="借",D18+E18-F18,D18+F18-E18)</x:f>
        <x:v>0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19" t="str">
        <x:v>4103</x:v>
      </x:c>
      <x:c r="B19" s="19" t="str">
        <x:v>本年利润</x:v>
      </x:c>
      <x:c r="C19" s="19" t="str">
        <x:v>贷</x:v>
      </x:c>
      <x:c r="D19" s="76"/>
      <x:c r="E19" s="77" t="n">
        <x:f>SUMIFS('记账凭证'!$G$5:$G$204,'记账凭证'!$E$5:$E$204,A19)</x:f>
        <x:v>0</x:v>
      </x:c>
      <x:c r="F19" s="77" t="n">
        <x:f>SUMIFS('记账凭证'!$H$5:$H$204,'记账凭证'!$E$5:$E$204,A19)</x:f>
        <x:v>0</x:v>
      </x:c>
      <x:c r="G19" s="78" t="n">
        <x:f>IF(C19="借",D19+E19-F19,D19+F19-E19)</x:f>
        <x:v>0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19" t="str">
        <x:v>4104</x:v>
      </x:c>
      <x:c r="B20" s="19" t="str">
        <x:v>利润分配</x:v>
      </x:c>
      <x:c r="C20" s="19" t="str">
        <x:v>贷</x:v>
      </x:c>
      <x:c r="D20" s="76"/>
      <x:c r="E20" s="77" t="n">
        <x:f>SUMIFS('记账凭证'!$G$5:$G$204,'记账凭证'!$E$5:$E$204,A20)</x:f>
        <x:v>0</x:v>
      </x:c>
      <x:c r="F20" s="77" t="n">
        <x:f>SUMIFS('记账凭证'!$H$5:$H$204,'记账凭证'!$E$5:$E$204,A20)</x:f>
        <x:v>0</x:v>
      </x:c>
      <x:c r="G20" s="78" t="n">
        <x:f>IF(C20="借",D20+E20-F20,D20+F20-E20)</x:f>
        <x:v>0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19" t="str">
        <x:v>5001</x:v>
      </x:c>
      <x:c r="B21" s="19" t="str">
        <x:v>主营业务收入</x:v>
      </x:c>
      <x:c r="C21" s="19" t="str">
        <x:v>贷</x:v>
      </x:c>
      <x:c r="D21" s="76"/>
      <x:c r="E21" s="77" t="n">
        <x:f>SUMIFS('记账凭证'!$G$5:$G$204,'记账凭证'!$E$5:$E$204,A21)</x:f>
        <x:v>0</x:v>
      </x:c>
      <x:c r="F21" s="77" t="n">
        <x:f>SUMIFS('记账凭证'!$H$5:$H$204,'记账凭证'!$E$5:$E$204,A21)</x:f>
        <x:v>10000</x:v>
      </x:c>
      <x:c r="G21" s="78" t="n">
        <x:f>IF(C21="借",D21+E21-F21,D21+F21-E21)</x:f>
        <x:v>10000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19" t="str">
        <x:v>5051</x:v>
      </x:c>
      <x:c r="B22" s="19" t="str">
        <x:v>其他业务收入</x:v>
      </x:c>
      <x:c r="C22" s="19" t="str">
        <x:v>贷</x:v>
      </x:c>
      <x:c r="D22" s="76"/>
      <x:c r="E22" s="77" t="n">
        <x:f>SUMIFS('记账凭证'!$G$5:$G$204,'记账凭证'!$E$5:$E$204,A22)</x:f>
        <x:v>0</x:v>
      </x:c>
      <x:c r="F22" s="77" t="n">
        <x:f>SUMIFS('记账凭证'!$H$5:$H$204,'记账凭证'!$E$5:$E$204,A22)</x:f>
        <x:v>0</x:v>
      </x:c>
      <x:c r="G22" s="78" t="n">
        <x:f>IF(C22="借",D22+E22-F22,D22+F22-E22)</x:f>
        <x:v>0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19" t="str">
        <x:v>5301</x:v>
      </x:c>
      <x:c r="B23" s="19" t="str">
        <x:v>营业外收入</x:v>
      </x:c>
      <x:c r="C23" s="19" t="str">
        <x:v>贷</x:v>
      </x:c>
      <x:c r="D23" s="76"/>
      <x:c r="E23" s="77" t="n">
        <x:f>SUMIFS('记账凭证'!$G$5:$G$204,'记账凭证'!$E$5:$E$204,A23)</x:f>
        <x:v>0</x:v>
      </x:c>
      <x:c r="F23" s="77" t="n">
        <x:f>SUMIFS('记账凭证'!$H$5:$H$204,'记账凭证'!$E$5:$E$204,A23)</x:f>
        <x:v>0</x:v>
      </x:c>
      <x:c r="G23" s="78" t="n">
        <x:f>IF(C23="借",D23+E23-F23,D23+F23-E23)</x:f>
        <x:v>0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19" t="str">
        <x:v>5401</x:v>
      </x:c>
      <x:c r="B24" s="19" t="str">
        <x:v>主营业务成本</x:v>
      </x:c>
      <x:c r="C24" s="19" t="str">
        <x:v>借</x:v>
      </x:c>
      <x:c r="D24" s="76"/>
      <x:c r="E24" s="77" t="n">
        <x:f>SUMIFS('记账凭证'!$G$5:$G$204,'记账凭证'!$E$5:$E$204,A24)</x:f>
        <x:v>0</x:v>
      </x:c>
      <x:c r="F24" s="77" t="n">
        <x:f>SUMIFS('记账凭证'!$H$5:$H$204,'记账凭证'!$E$5:$E$204,A24)</x:f>
        <x:v>0</x:v>
      </x:c>
      <x:c r="G24" s="78" t="n">
        <x:f>IF(C24="借",D24+E24-F24,D24+F24-E24)</x:f>
        <x:v>0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19" t="str">
        <x:v>5403</x:v>
      </x:c>
      <x:c r="B25" s="19" t="str">
        <x:v>税金及附加</x:v>
      </x:c>
      <x:c r="C25" s="19" t="str">
        <x:v>借</x:v>
      </x:c>
      <x:c r="D25" s="76"/>
      <x:c r="E25" s="77" t="n">
        <x:f>SUMIFS('记账凭证'!$G$5:$G$204,'记账凭证'!$E$5:$E$204,A25)</x:f>
        <x:v>0</x:v>
      </x:c>
      <x:c r="F25" s="77" t="n">
        <x:f>SUMIFS('记账凭证'!$H$5:$H$204,'记账凭证'!$E$5:$E$204,A25)</x:f>
        <x:v>0</x:v>
      </x:c>
      <x:c r="G25" s="78" t="n">
        <x:f>IF(C25="借",D25+E25-F25,D25+F25-E25)</x:f>
        <x:v>0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19" t="str">
        <x:v>5601</x:v>
      </x:c>
      <x:c r="B26" s="19" t="str">
        <x:v>销售费用</x:v>
      </x:c>
      <x:c r="C26" s="19" t="str">
        <x:v>借</x:v>
      </x:c>
      <x:c r="D26" s="76"/>
      <x:c r="E26" s="77" t="n">
        <x:f>SUMIFS('记账凭证'!$G$5:$G$204,'记账凭证'!$E$5:$E$204,A26)</x:f>
        <x:v>0</x:v>
      </x:c>
      <x:c r="F26" s="77" t="n">
        <x:f>SUMIFS('记账凭证'!$H$5:$H$204,'记账凭证'!$E$5:$E$204,A26)</x:f>
        <x:v>0</x:v>
      </x:c>
      <x:c r="G26" s="78" t="n">
        <x:f>IF(C26="借",D26+E26-F26,D26+F26-E26)</x:f>
        <x:v>0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19" t="str">
        <x:v>5602</x:v>
      </x:c>
      <x:c r="B27" s="19" t="str">
        <x:v>管理费用</x:v>
      </x:c>
      <x:c r="C27" s="19" t="str">
        <x:v>借</x:v>
      </x:c>
      <x:c r="D27" s="76"/>
      <x:c r="E27" s="77" t="n">
        <x:f>SUMIFS('记账凭证'!$G$5:$G$204,'记账凭证'!$E$5:$E$204,A27)</x:f>
        <x:v>500</x:v>
      </x:c>
      <x:c r="F27" s="77" t="n">
        <x:f>SUMIFS('记账凭证'!$H$5:$H$204,'记账凭证'!$E$5:$E$204,A27)</x:f>
        <x:v>0</x:v>
      </x:c>
      <x:c r="G27" s="78" t="n">
        <x:f>IF(C27="借",D27+E27-F27,D27+F27-E27)</x:f>
        <x:v>500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19" t="str">
        <x:v>5603</x:v>
      </x:c>
      <x:c r="B28" s="19" t="str">
        <x:v>财务费用</x:v>
      </x:c>
      <x:c r="C28" s="19" t="str">
        <x:v>借</x:v>
      </x:c>
      <x:c r="D28" s="76"/>
      <x:c r="E28" s="77" t="n">
        <x:f>SUMIFS('记账凭证'!$G$5:$G$204,'记账凭证'!$E$5:$E$204,A28)</x:f>
        <x:v>0</x:v>
      </x:c>
      <x:c r="F28" s="77" t="n">
        <x:f>SUMIFS('记账凭证'!$H$5:$H$204,'记账凭证'!$E$5:$E$204,A28)</x:f>
        <x:v>0</x:v>
      </x:c>
      <x:c r="G28" s="78" t="n">
        <x:f>IF(C28="借",D28+E28-F28,D28+F28-E28)</x:f>
        <x:v>0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19" t="str">
        <x:v>5711</x:v>
      </x:c>
      <x:c r="B29" s="19" t="str">
        <x:v>营业外支出</x:v>
      </x:c>
      <x:c r="C29" s="19" t="str">
        <x:v>借</x:v>
      </x:c>
      <x:c r="D29" s="76"/>
      <x:c r="E29" s="77" t="n">
        <x:f>SUMIFS('记账凭证'!$G$5:$G$204,'记账凭证'!$E$5:$E$204,A29)</x:f>
        <x:v>0</x:v>
      </x:c>
      <x:c r="F29" s="77" t="n">
        <x:f>SUMIFS('记账凭证'!$H$5:$H$204,'记账凭证'!$E$5:$E$204,A29)</x:f>
        <x:v>0</x:v>
      </x:c>
      <x:c r="G29" s="78" t="n">
        <x:f>IF(C29="借",D29+E29-F29,D29+F29-E29)</x:f>
        <x:v>0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19" t="str">
        <x:v>5801</x:v>
      </x:c>
      <x:c r="B30" s="19" t="str">
        <x:v>所得税费用</x:v>
      </x:c>
      <x:c r="C30" s="19" t="str">
        <x:v>借</x:v>
      </x:c>
      <x:c r="D30" s="76"/>
      <x:c r="E30" s="77" t="n">
        <x:f>SUMIFS('记账凭证'!$G$5:$G$204,'记账凭证'!$E$5:$E$204,A30)</x:f>
        <x:v>0</x:v>
      </x:c>
      <x:c r="F30" s="77" t="n">
        <x:f>SUMIFS('记账凭证'!$H$5:$H$204,'记账凭证'!$E$5:$E$204,A30)</x:f>
        <x:v>0</x:v>
      </x:c>
      <x:c r="G30" s="78" t="n">
        <x:f>IF(C30="借",D30+E30-F30,D30+F30-E30)</x:f>
        <x:v>0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</x:sheetData>
  <x:mergeCells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税务测算（复核用，不替代申报表）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</x:row>
    <x:row r="4" ht="30" customHeight="1">
      <x:c r="A4" s="61" t="str">
        <x:v>关键参数</x:v>
      </x:c>
      <x:c r="B4" s="63" t="str">
        <x:v>数值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季度起征点</x:v>
      </x:c>
      <x:c r="B5" s="79" t="n">
        <x:f>'工作台'!B10</x:f>
        <x:v>300000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tr">
        <x:v>小规模征收率</x:v>
      </x:c>
      <x:c r="B6" s="80" t="n">
        <x:f>'工作台'!B11</x:f>
        <x:v>0.01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小微企业所得税估算率</x:v>
      </x:c>
      <x:c r="B7" s="80" t="n">
        <x:f>'工作台'!B12</x:f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0" customHeight="1">
      <x:c r="A9" s="61" t="str">
        <x:v>季度</x:v>
      </x:c>
      <x:c r="B9" s="62" t="str">
        <x:v>季度开始</x:v>
      </x:c>
      <x:c r="C9" s="62" t="str">
        <x:v>季度结束</x:v>
      </x:c>
      <x:c r="D9" s="62" t="str">
        <x:v>销项销售额</x:v>
      </x:c>
      <x:c r="E9" s="62" t="str">
        <x:v>已计税额</x:v>
      </x:c>
      <x:c r="F9" s="62" t="str">
        <x:v>0%/免税录入额</x:v>
      </x:c>
      <x:c r="G9" s="62" t="str">
        <x:v>增值税估算</x:v>
      </x:c>
      <x:c r="H9" s="62" t="str">
        <x:v>增值税判断</x:v>
      </x:c>
      <x:c r="I9" s="62" t="str">
        <x:v>累计会计利润</x:v>
      </x:c>
      <x:c r="J9" s="62" t="str">
        <x:v>累计纳税调整</x:v>
      </x:c>
      <x:c r="K9" s="62" t="str">
        <x:v>累计应纳税所得额</x:v>
      </x:c>
      <x:c r="L9" s="62" t="str">
        <x:v>累计企业所得税</x:v>
      </x:c>
      <x:c r="M9" s="62" t="str">
        <x:v>以前已预缴</x:v>
      </x:c>
      <x:c r="N9" s="63" t="str">
        <x:v>本次所得税估算</x:v>
      </x:c>
      <x:c r="O9" s="2"/>
      <x:c r="P9" s="2"/>
      <x:c r="Q9" s="2"/>
    </x:row>
    <x:row r="10">
      <x:c r="A10" s="2" t="str">
        <x:v>一季度</x:v>
      </x:c>
      <x:c r="B10" s="81" t="n">
        <x:v>46023</x:v>
      </x:c>
      <x:c r="C10" s="81" t="n">
        <x:v>46112</x:v>
      </x:c>
      <x:c r="D10" s="70" t="n">
        <x:f>SUMIFS('发票台账'!$I$5:$I$154,'发票台账'!$A$5:$A$154,"&gt;="&amp;B10,'发票台账'!$A$5:$A$154,"&lt;="&amp;C10,'发票台账'!$B$5:$B$154,"销项",'发票台账'!$K$5:$K$154,"正常")</x:f>
        <x:v>10000</x:v>
      </x:c>
      <x:c r="E10" s="70" t="n">
        <x:f>SUMIFS('发票台账'!$J$5:$J$154,'发票台账'!$A$5:$A$154,"&gt;="&amp;B10,'发票台账'!$A$5:$A$154,"&lt;="&amp;C10,'发票台账'!$B$5:$B$154,"销项",'发票台账'!$K$5:$K$154,"正常")</x:f>
        <x:v>0</x:v>
      </x:c>
      <x:c r="F10" s="70" t="n">
        <x:f>SUMIFS('发票台账'!$I$5:$I$154,'发票台账'!$A$5:$A$154,"&gt;="&amp;B10,'发票台账'!$A$5:$A$154,"&lt;="&amp;C10,'发票台账'!$B$5:$B$154,"销项",'发票台账'!$H$5:$H$154,0,'发票台账'!$K$5:$K$154,"正常")</x:f>
        <x:v>10000</x:v>
      </x:c>
      <x:c r="G10" s="70" t="n">
        <x:f>IF(D10&lt;=$B$5,E10,E10+F10/(1+$B$6)*$B$6)</x:f>
        <x:v>0</x:v>
      </x:c>
      <x:c r="H10" s="2" t="str">
        <x:f>IF(D10&lt;=$B$5,"未达起征点；专票/放弃免税部分仍核税","达到起征点；核对全部销售和未开票收入")</x:f>
        <x:v>未达起征点；专票/放弃免税部分仍核税</x:v>
      </x:c>
      <x:c r="I10" s="70" t="n">
        <x:f>SUMIFS('记账凭证'!$H$5:$H$204,'记账凭证'!$A$5:$A$204,"&gt;="&amp;$B$10,'记账凭证'!$A$5:$A$204,"&lt;="&amp;C10,'记账凭证'!$I$5:$I$204,"收入")-SUMIFS('记账凭证'!$G$5:$G$204,'记账凭证'!$A$5:$A$204,"&gt;="&amp;$B$10,'记账凭证'!$A$5:$A$204,"&lt;="&amp;C10,'记账凭证'!$I$5:$I$204,"收入")-SUMIFS('记账凭证'!$G$5:$G$204,'记账凭证'!$A$5:$A$204,"&gt;="&amp;$B$10,'记账凭证'!$A$5:$A$204,"&lt;="&amp;C10,'记账凭证'!$I$5:$I$204,"成本费用")+SUMIFS('记账凭证'!$H$5:$H$204,'记账凭证'!$A$5:$A$204,"&gt;="&amp;$B$10,'记账凭证'!$A$5:$A$204,"&lt;="&amp;C10,'记账凭证'!$I$5:$I$204,"成本费用")</x:f>
        <x:v>9500</x:v>
      </x:c>
      <x:c r="J10" s="66"/>
      <x:c r="K10" s="70" t="n">
        <x:f>MAX(0,I10+J10)</x:f>
        <x:v>9500</x:v>
      </x:c>
      <x:c r="L10" s="70" t="n">
        <x:f>K10*$B$7</x:f>
        <x:v>475</x:v>
      </x:c>
      <x:c r="M10" s="66"/>
      <x:c r="N10" s="70" t="n">
        <x:f>MAX(0,L10-M10)</x:f>
        <x:v>475</x:v>
      </x:c>
      <x:c r="O10" s="2"/>
      <x:c r="P10" s="2"/>
      <x:c r="Q10" s="2"/>
    </x:row>
    <x:row r="11">
      <x:c r="A11" s="2" t="str">
        <x:v>二季度</x:v>
      </x:c>
      <x:c r="B11" s="81" t="n">
        <x:v>46113</x:v>
      </x:c>
      <x:c r="C11" s="81" t="n">
        <x:v>46203</x:v>
      </x:c>
      <x:c r="D11" s="70" t="n">
        <x:f>SUMIFS('发票台账'!$I$5:$I$154,'发票台账'!$A$5:$A$154,"&gt;="&amp;B11,'发票台账'!$A$5:$A$154,"&lt;="&amp;C11,'发票台账'!$B$5:$B$154,"销项",'发票台账'!$K$5:$K$154,"正常")</x:f>
        <x:v>0</x:v>
      </x:c>
      <x:c r="E11" s="70" t="n">
        <x:f>SUMIFS('发票台账'!$J$5:$J$154,'发票台账'!$A$5:$A$154,"&gt;="&amp;B11,'发票台账'!$A$5:$A$154,"&lt;="&amp;C11,'发票台账'!$B$5:$B$154,"销项",'发票台账'!$K$5:$K$154,"正常")</x:f>
        <x:v>0</x:v>
      </x:c>
      <x:c r="F11" s="70" t="n">
        <x:f>SUMIFS('发票台账'!$I$5:$I$154,'发票台账'!$A$5:$A$154,"&gt;="&amp;B11,'发票台账'!$A$5:$A$154,"&lt;="&amp;C11,'发票台账'!$B$5:$B$154,"销项",'发票台账'!$H$5:$H$154,0,'发票台账'!$K$5:$K$154,"正常")</x:f>
        <x:v>0</x:v>
      </x:c>
      <x:c r="G11" s="70" t="n">
        <x:f>IF(D11&lt;=$B$5,E11,E11+F11/(1+$B$6)*$B$6)</x:f>
        <x:v>0</x:v>
      </x:c>
      <x:c r="H11" s="2" t="str">
        <x:f>IF(D11&lt;=$B$5,"未达起征点；专票/放弃免税部分仍核税","达到起征点；核对全部销售和未开票收入")</x:f>
        <x:v>未达起征点；专票/放弃免税部分仍核税</x:v>
      </x:c>
      <x:c r="I11" s="70" t="n">
        <x:f>SUMIFS('记账凭证'!$H$5:$H$204,'记账凭证'!$A$5:$A$204,"&gt;="&amp;$B$10,'记账凭证'!$A$5:$A$204,"&lt;="&amp;C11,'记账凭证'!$I$5:$I$204,"收入")-SUMIFS('记账凭证'!$G$5:$G$204,'记账凭证'!$A$5:$A$204,"&gt;="&amp;$B$10,'记账凭证'!$A$5:$A$204,"&lt;="&amp;C11,'记账凭证'!$I$5:$I$204,"收入")-SUMIFS('记账凭证'!$G$5:$G$204,'记账凭证'!$A$5:$A$204,"&gt;="&amp;$B$10,'记账凭证'!$A$5:$A$204,"&lt;="&amp;C11,'记账凭证'!$I$5:$I$204,"成本费用")+SUMIFS('记账凭证'!$H$5:$H$204,'记账凭证'!$A$5:$A$204,"&gt;="&amp;$B$10,'记账凭证'!$A$5:$A$204,"&lt;="&amp;C11,'记账凭证'!$I$5:$I$204,"成本费用")</x:f>
        <x:v>9500</x:v>
      </x:c>
      <x:c r="J11" s="66"/>
      <x:c r="K11" s="70" t="n">
        <x:f>MAX(0,I11+J11)</x:f>
        <x:v>9500</x:v>
      </x:c>
      <x:c r="L11" s="70" t="n">
        <x:f>K11*$B$7</x:f>
        <x:v>475</x:v>
      </x:c>
      <x:c r="M11" s="66"/>
      <x:c r="N11" s="70" t="n">
        <x:f>MAX(0,L11-M11)</x:f>
        <x:v>475</x:v>
      </x:c>
      <x:c r="O11" s="2"/>
      <x:c r="P11" s="2"/>
      <x:c r="Q11" s="2"/>
    </x:row>
    <x:row r="12">
      <x:c r="A12" s="2" t="str">
        <x:v>三季度</x:v>
      </x:c>
      <x:c r="B12" s="81" t="n">
        <x:v>46204</x:v>
      </x:c>
      <x:c r="C12" s="81" t="n">
        <x:v>46295</x:v>
      </x:c>
      <x:c r="D12" s="70" t="n">
        <x:f>SUMIFS('发票台账'!$I$5:$I$154,'发票台账'!$A$5:$A$154,"&gt;="&amp;B12,'发票台账'!$A$5:$A$154,"&lt;="&amp;C12,'发票台账'!$B$5:$B$154,"销项",'发票台账'!$K$5:$K$154,"正常")</x:f>
        <x:v>0</x:v>
      </x:c>
      <x:c r="E12" s="70" t="n">
        <x:f>SUMIFS('发票台账'!$J$5:$J$154,'发票台账'!$A$5:$A$154,"&gt;="&amp;B12,'发票台账'!$A$5:$A$154,"&lt;="&amp;C12,'发票台账'!$B$5:$B$154,"销项",'发票台账'!$K$5:$K$154,"正常")</x:f>
        <x:v>0</x:v>
      </x:c>
      <x:c r="F12" s="70" t="n">
        <x:f>SUMIFS('发票台账'!$I$5:$I$154,'发票台账'!$A$5:$A$154,"&gt;="&amp;B12,'发票台账'!$A$5:$A$154,"&lt;="&amp;C12,'发票台账'!$B$5:$B$154,"销项",'发票台账'!$H$5:$H$154,0,'发票台账'!$K$5:$K$154,"正常")</x:f>
        <x:v>0</x:v>
      </x:c>
      <x:c r="G12" s="70" t="n">
        <x:f>IF(D12&lt;=$B$5,E12,E12+F12/(1+$B$6)*$B$6)</x:f>
        <x:v>0</x:v>
      </x:c>
      <x:c r="H12" s="2" t="str">
        <x:f>IF(D12&lt;=$B$5,"未达起征点；专票/放弃免税部分仍核税","达到起征点；核对全部销售和未开票收入")</x:f>
        <x:v>未达起征点；专票/放弃免税部分仍核税</x:v>
      </x:c>
      <x:c r="I12" s="70" t="n">
        <x:f>SUMIFS('记账凭证'!$H$5:$H$204,'记账凭证'!$A$5:$A$204,"&gt;="&amp;$B$10,'记账凭证'!$A$5:$A$204,"&lt;="&amp;C12,'记账凭证'!$I$5:$I$204,"收入")-SUMIFS('记账凭证'!$G$5:$G$204,'记账凭证'!$A$5:$A$204,"&gt;="&amp;$B$10,'记账凭证'!$A$5:$A$204,"&lt;="&amp;C12,'记账凭证'!$I$5:$I$204,"收入")-SUMIFS('记账凭证'!$G$5:$G$204,'记账凭证'!$A$5:$A$204,"&gt;="&amp;$B$10,'记账凭证'!$A$5:$A$204,"&lt;="&amp;C12,'记账凭证'!$I$5:$I$204,"成本费用")+SUMIFS('记账凭证'!$H$5:$H$204,'记账凭证'!$A$5:$A$204,"&gt;="&amp;$B$10,'记账凭证'!$A$5:$A$204,"&lt;="&amp;C12,'记账凭证'!$I$5:$I$204,"成本费用")</x:f>
        <x:v>9500</x:v>
      </x:c>
      <x:c r="J12" s="66"/>
      <x:c r="K12" s="70" t="n">
        <x:f>MAX(0,I12+J12)</x:f>
        <x:v>9500</x:v>
      </x:c>
      <x:c r="L12" s="70" t="n">
        <x:f>K12*$B$7</x:f>
        <x:v>475</x:v>
      </x:c>
      <x:c r="M12" s="66"/>
      <x:c r="N12" s="70" t="n">
        <x:f>MAX(0,L12-M12)</x:f>
        <x:v>475</x:v>
      </x:c>
      <x:c r="O12" s="2"/>
      <x:c r="P12" s="2"/>
      <x:c r="Q12" s="2"/>
    </x:row>
    <x:row r="13">
      <x:c r="A13" s="2" t="str">
        <x:v>四季度</x:v>
      </x:c>
      <x:c r="B13" s="81" t="n">
        <x:v>46296</x:v>
      </x:c>
      <x:c r="C13" s="81" t="n">
        <x:v>46387</x:v>
      </x:c>
      <x:c r="D13" s="70" t="n">
        <x:f>SUMIFS('发票台账'!$I$5:$I$154,'发票台账'!$A$5:$A$154,"&gt;="&amp;B13,'发票台账'!$A$5:$A$154,"&lt;="&amp;C13,'发票台账'!$B$5:$B$154,"销项",'发票台账'!$K$5:$K$154,"正常")</x:f>
        <x:v>0</x:v>
      </x:c>
      <x:c r="E13" s="70" t="n">
        <x:f>SUMIFS('发票台账'!$J$5:$J$154,'发票台账'!$A$5:$A$154,"&gt;="&amp;B13,'发票台账'!$A$5:$A$154,"&lt;="&amp;C13,'发票台账'!$B$5:$B$154,"销项",'发票台账'!$K$5:$K$154,"正常")</x:f>
        <x:v>0</x:v>
      </x:c>
      <x:c r="F13" s="70" t="n">
        <x:f>SUMIFS('发票台账'!$I$5:$I$154,'发票台账'!$A$5:$A$154,"&gt;="&amp;B13,'发票台账'!$A$5:$A$154,"&lt;="&amp;C13,'发票台账'!$B$5:$B$154,"销项",'发票台账'!$H$5:$H$154,0,'发票台账'!$K$5:$K$154,"正常")</x:f>
        <x:v>0</x:v>
      </x:c>
      <x:c r="G13" s="70" t="n">
        <x:f>IF(D13&lt;=$B$5,E13,E13+F13/(1+$B$6)*$B$6)</x:f>
        <x:v>0</x:v>
      </x:c>
      <x:c r="H13" s="2" t="str">
        <x:f>IF(D13&lt;=$B$5,"未达起征点；专票/放弃免税部分仍核税","达到起征点；核对全部销售和未开票收入")</x:f>
        <x:v>未达起征点；专票/放弃免税部分仍核税</x:v>
      </x:c>
      <x:c r="I13" s="70" t="n">
        <x:f>SUMIFS('记账凭证'!$H$5:$H$204,'记账凭证'!$A$5:$A$204,"&gt;="&amp;$B$10,'记账凭证'!$A$5:$A$204,"&lt;="&amp;C13,'记账凭证'!$I$5:$I$204,"收入")-SUMIFS('记账凭证'!$G$5:$G$204,'记账凭证'!$A$5:$A$204,"&gt;="&amp;$B$10,'记账凭证'!$A$5:$A$204,"&lt;="&amp;C13,'记账凭证'!$I$5:$I$204,"收入")-SUMIFS('记账凭证'!$G$5:$G$204,'记账凭证'!$A$5:$A$204,"&gt;="&amp;$B$10,'记账凭证'!$A$5:$A$204,"&lt;="&amp;C13,'记账凭证'!$I$5:$I$204,"成本费用")+SUMIFS('记账凭证'!$H$5:$H$204,'记账凭证'!$A$5:$A$204,"&gt;="&amp;$B$10,'记账凭证'!$A$5:$A$204,"&lt;="&amp;C13,'记账凭证'!$I$5:$I$204,"成本费用")</x:f>
        <x:v>9500</x:v>
      </x:c>
      <x:c r="J13" s="66"/>
      <x:c r="K13" s="70" t="n">
        <x:f>MAX(0,I13+J13)</x:f>
        <x:v>9500</x:v>
      </x:c>
      <x:c r="L13" s="70" t="n">
        <x:f>K13*$B$7</x:f>
        <x:v>475</x:v>
      </x:c>
      <x:c r="M13" s="66"/>
      <x:c r="N13" s="70" t="n">
        <x:f>MAX(0,L13-M13)</x:f>
        <x:v>475</x:v>
      </x:c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8" customHeight="1">
      <x:c r="A16" s="24" t="str">
        <x:v>说明</x:v>
      </x:c>
      <x:c r="B16" s="24" t="str">
        <x:v>销售额含未开票收入；若有未开票收入，应在发票台账以发票类型“收据/其他”补录。</x:v>
      </x:c>
      <x:c r="C16" s="24" t="str"/>
      <x:c r="D16" s="24" t="str"/>
      <x:c r="E16" s="24" t="str"/>
      <x:c r="F16" s="24" t="str"/>
      <x:c r="G16" s="24" t="str"/>
      <x:c r="H16" s="24" t="str"/>
      <x:c r="I16" s="24" t="str"/>
      <x:c r="J16" s="24" t="str"/>
      <x:c r="K16" s="24" t="str"/>
      <x:c r="L16" s="24" t="str"/>
      <x:c r="M16" s="24" t="str"/>
      <x:c r="N16" s="24" t="str"/>
      <x:c r="O16" s="2"/>
      <x:c r="P16" s="2"/>
      <x:c r="Q16" s="2"/>
    </x:row>
    <x:row r="17" ht="28" customHeight="1">
      <x:c r="A17" s="24" t="str">
        <x:v>说明</x:v>
      </x:c>
      <x:c r="B17" s="24" t="str">
        <x:v>小规模纳税人进项税额通常不抵扣。本页不计算进项抵扣。</x:v>
      </x:c>
      <x:c r="C17" s="24" t="str"/>
      <x:c r="D17" s="24" t="str"/>
      <x:c r="E17" s="24" t="str"/>
      <x:c r="F17" s="24" t="str"/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str"/>
      <x:c r="O17" s="2"/>
      <x:c r="P17" s="2"/>
      <x:c r="Q17" s="2"/>
    </x:row>
    <x:row r="18" ht="28" customHeight="1">
      <x:c r="A18" s="24" t="str">
        <x:v>说明</x:v>
      </x:c>
      <x:c r="B18" s="24" t="str">
        <x:v>企业所得税采用累计估算。纳税调整需手工填入，例如无票费用、业务招待费限额、罚款等。</x:v>
      </x:c>
      <x:c r="C18" s="24" t="str"/>
      <x:c r="D18" s="24" t="str"/>
      <x:c r="E18" s="24" t="str"/>
      <x:c r="F18" s="24" t="str"/>
      <x:c r="G18" s="24" t="str"/>
      <x:c r="H18" s="24" t="str"/>
      <x:c r="I18" s="24" t="str"/>
      <x:c r="J18" s="24" t="str"/>
      <x:c r="K18" s="24" t="str"/>
      <x:c r="L18" s="24" t="str"/>
      <x:c r="M18" s="24" t="str"/>
      <x:c r="N18" s="24" t="str"/>
      <x:c r="O18" s="2"/>
      <x:c r="P18" s="2"/>
      <x:c r="Q18" s="2"/>
    </x:row>
    <x:row r="19" ht="28" customHeight="1">
      <x:c r="A19" s="24" t="str">
        <x:v>说明</x:v>
      </x:c>
      <x:c r="B19" s="24" t="str">
        <x:v>是否符合小型微利企业条件需年度判断：非限制行业、应纳税所得额≤300万元、人数≤300、资产≤5000万元。</x:v>
      </x:c>
      <x:c r="C19" s="24" t="str"/>
      <x:c r="D19" s="24" t="str"/>
      <x:c r="E19" s="24" t="str"/>
      <x:c r="F19" s="24" t="str"/>
      <x:c r="G19" s="24" t="str"/>
      <x:c r="H19" s="24" t="str"/>
      <x:c r="I19" s="24" t="str"/>
      <x:c r="J19" s="24" t="str"/>
      <x:c r="K19" s="24" t="str"/>
      <x:c r="L19" s="24" t="str"/>
      <x:c r="M19" s="24" t="str"/>
      <x:c r="N19" s="24" t="str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</x:sheetData>
  <x:mergeCells>
    <x:mergeCell ref="A2:N2"/>
    <x:mergeCell ref="B16:N16"/>
    <x:mergeCell ref="B17:N17"/>
    <x:mergeCell ref="B18:N18"/>
    <x:mergeCell ref="B19:N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30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申报与合规日历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</x:row>
    <x:row r="4" ht="30" customHeight="1">
      <x:c r="A4" s="74" t="str">
        <x:v>频率</x:v>
      </x:c>
      <x:c r="B4" s="75" t="str">
        <x:v>建议时间</x:v>
      </x:c>
      <x:c r="C4" s="75" t="str">
        <x:v>事项</x:v>
      </x:c>
      <x:c r="D4" s="75" t="str">
        <x:v>办理入口</x:v>
      </x:c>
      <x:c r="E4" s="75" t="str">
        <x:v>是否无业务也要做</x:v>
      </x:c>
      <x:c r="F4" s="75" t="str">
        <x:v>完成</x:v>
      </x:c>
      <x:c r="G4" s="75" t="str">
        <x:v>凭证/回执文件名</x:v>
      </x:c>
      <x:c r="H4" s="75" t="str">
        <x:v>备注</x:v>
      </x:c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84" t="str">
        <x:v>每笔</x:v>
      </x:c>
      <x:c r="B5" s="84" t="str">
        <x:v>业务发生当日</x:v>
      </x:c>
      <x:c r="C5" s="84" t="str">
        <x:v>合同、交付/验收、发票、款项分别留证并编号</x:v>
      </x:c>
      <x:c r="D5" s="84" t="str">
        <x:v>公司文件夹+本工作簿</x:v>
      </x:c>
      <x:c r="E5" s="84" t="str">
        <x:v>是</x:v>
      </x:c>
      <x:c r="F5" s="85"/>
      <x:c r="G5" s="85"/>
      <x:c r="H5" s="86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84" t="str">
        <x:v>每笔</x:v>
      </x:c>
      <x:c r="B6" s="84" t="str">
        <x:v>股东实缴后20个工作日内</x:v>
      </x:c>
      <x:c r="C6" s="84" t="str">
        <x:v>公示实缴出资额、方式和日期</x:v>
      </x:c>
      <x:c r="D6" s="84" t="str">
        <x:v>国家企业信用信息公示系统</x:v>
      </x:c>
      <x:c r="E6" s="84" t="str">
        <x:v>发生时必须</x:v>
      </x:c>
      <x:c r="F6" s="85"/>
      <x:c r="G6" s="85"/>
      <x:c r="H6" s="86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84" t="str">
        <x:v>每月</x:v>
      </x:c>
      <x:c r="B7" s="84" t="str">
        <x:v>次月1—5日</x:v>
      </x:c>
      <x:c r="C7" s="84" t="str">
        <x:v>下载银行对账单、数电票清单；匹配票、款、合同</x:v>
      </x:c>
      <x:c r="D7" s="84" t="str">
        <x:v>开户行+电子税务局</x:v>
      </x:c>
      <x:c r="E7" s="84" t="str">
        <x:v>是</x:v>
      </x:c>
      <x:c r="F7" s="85"/>
      <x:c r="G7" s="85"/>
      <x:c r="H7" s="86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84" t="str">
        <x:v>每月</x:v>
      </x:c>
      <x:c r="B8" s="84" t="str">
        <x:v>次月10日前</x:v>
      </x:c>
      <x:c r="C8" s="84" t="str">
        <x:v>完成上月记账、对账、资产负债表和利润表</x:v>
      </x:c>
      <x:c r="D8" s="84" t="str">
        <x:v>本工作簿</x:v>
      </x:c>
      <x:c r="E8" s="84" t="str">
        <x:v>是</x:v>
      </x:c>
      <x:c r="F8" s="85"/>
      <x:c r="G8" s="85"/>
      <x:c r="H8" s="86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84" t="str">
        <x:v>每月</x:v>
      </x:c>
      <x:c r="B9" s="84" t="str">
        <x:v>通常次月15日前</x:v>
      </x:c>
      <x:c r="C9" s="84" t="str">
        <x:v>向个人支付工资、劳务、董事费、分红等时办理个税扣缴</x:v>
      </x:c>
      <x:c r="D9" s="84" t="str">
        <x:v>自然人电子税务局（扣缴端）</x:v>
      </x:c>
      <x:c r="E9" s="84" t="str">
        <x:v>按税种认定/支付情况</x:v>
      </x:c>
      <x:c r="F9" s="85"/>
      <x:c r="G9" s="85"/>
      <x:c r="H9" s="86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84" t="str">
        <x:v>每季</x:v>
      </x:c>
      <x:c r="B10" s="84" t="str">
        <x:v>1/4/7/10月申报期限内</x:v>
      </x:c>
      <x:c r="C10" s="84" t="str">
        <x:v>增值税及附加税费申报；检查专票、免税和未开票收入</x:v>
      </x:c>
      <x:c r="D10" s="84" t="str">
        <x:v>江苏电子税务局应申报清册</x:v>
      </x:c>
      <x:c r="E10" s="84" t="str">
        <x:v>是</x:v>
      </x:c>
      <x:c r="F10" s="85"/>
      <x:c r="G10" s="85"/>
      <x:c r="H10" s="86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84" t="str">
        <x:v>每季</x:v>
      </x:c>
      <x:c r="B11" s="84" t="str">
        <x:v>1/4/7/10月申报期限内</x:v>
      </x:c>
      <x:c r="C11" s="84" t="str">
        <x:v>企业所得税季度预缴</x:v>
      </x:c>
      <x:c r="D11" s="84" t="str">
        <x:v>江苏电子税务局</x:v>
      </x:c>
      <x:c r="E11" s="84" t="str">
        <x:v>是</x:v>
      </x:c>
      <x:c r="F11" s="85"/>
      <x:c r="G11" s="85"/>
      <x:c r="H11" s="86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84" t="str">
        <x:v>每季</x:v>
      </x:c>
      <x:c r="B12" s="84" t="str">
        <x:v>1/4/7/10月申报期限内</x:v>
      </x:c>
      <x:c r="C12" s="84" t="str">
        <x:v>印花税申报（技术合同等按税种认定）</x:v>
      </x:c>
      <x:c r="D12" s="84" t="str">
        <x:v>江苏电子税务局</x:v>
      </x:c>
      <x:c r="E12" s="84" t="str">
        <x:v>按税种认定</x:v>
      </x:c>
      <x:c r="F12" s="85"/>
      <x:c r="G12" s="85"/>
      <x:c r="H12" s="86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84" t="str">
        <x:v>每季</x:v>
      </x:c>
      <x:c r="B13" s="84" t="str">
        <x:v>1/4/7/10月申报期限内</x:v>
      </x:c>
      <x:c r="C13" s="84" t="str">
        <x:v>资产负债表、利润表等财务报表报送</x:v>
      </x:c>
      <x:c r="D13" s="84" t="str">
        <x:v>江苏电子税务局</x:v>
      </x:c>
      <x:c r="E13" s="84" t="str">
        <x:v>是</x:v>
      </x:c>
      <x:c r="F13" s="85"/>
      <x:c r="G13" s="85"/>
      <x:c r="H13" s="86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84" t="str">
        <x:v>每年</x:v>
      </x:c>
      <x:c r="B14" s="84" t="str">
        <x:v>5月31日前</x:v>
      </x:c>
      <x:c r="C14" s="84" t="str">
        <x:v>上年度企业所得税汇算清缴</x:v>
      </x:c>
      <x:c r="D14" s="84" t="str">
        <x:v>江苏电子税务局</x:v>
      </x:c>
      <x:c r="E14" s="84" t="str">
        <x:v>是</x:v>
      </x:c>
      <x:c r="F14" s="85"/>
      <x:c r="G14" s="85"/>
      <x:c r="H14" s="86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84" t="str">
        <x:v>每年</x:v>
      </x:c>
      <x:c r="B15" s="84" t="str">
        <x:v>6月30日前</x:v>
      </x:c>
      <x:c r="C15" s="84" t="str">
        <x:v>上年度企业年度报告</x:v>
      </x:c>
      <x:c r="D15" s="84" t="str">
        <x:v>国家企业信用信息公示系统</x:v>
      </x:c>
      <x:c r="E15" s="84" t="str">
        <x:v>是</x:v>
      </x:c>
      <x:c r="F15" s="85"/>
      <x:c r="G15" s="85"/>
      <x:c r="H15" s="86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84" t="str">
        <x:v>每年</x:v>
      </x:c>
      <x:c r="B16" s="84" t="str">
        <x:v>3月1日—6月30日</x:v>
      </x:c>
      <x:c r="C16" s="84" t="str">
        <x:v>个人综合所得汇算；有两处工资/劳务尤其核对</x:v>
      </x:c>
      <x:c r="D16" s="84" t="str">
        <x:v>个人所得税App</x:v>
      </x:c>
      <x:c r="E16" s="84" t="str">
        <x:v>符合条件时</x:v>
      </x:c>
      <x:c r="F16" s="85"/>
      <x:c r="G16" s="85"/>
      <x:c r="H16" s="86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84" t="str">
        <x:v>每年</x:v>
      </x:c>
      <x:c r="B17" s="84" t="str">
        <x:v>12月结账前</x:v>
      </x:c>
      <x:c r="C17" s="84" t="str">
        <x:v>清理股东借款、应收应付；盘点资产；准备年度财务报告</x:v>
      </x:c>
      <x:c r="D17" s="84" t="str">
        <x:v>本工作簿</x:v>
      </x:c>
      <x:c r="E17" s="84" t="str">
        <x:v>是</x:v>
      </x:c>
      <x:c r="F17" s="85"/>
      <x:c r="G17" s="85"/>
      <x:c r="H17" s="86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84" t="str">
        <x:v>按章程</x:v>
      </x:c>
      <x:c r="B18" s="84" t="str">
        <x:v>认缴到期前</x:v>
      </x:c>
      <x:c r="C18" s="84" t="str">
        <x:v>完成注册资本实缴；旧公司关注2027-06-30调整节点</x:v>
      </x:c>
      <x:c r="D18" s="84" t="str">
        <x:v>银行+市场监管系统</x:v>
      </x:c>
      <x:c r="E18" s="84" t="str">
        <x:v>是</x:v>
      </x:c>
      <x:c r="F18" s="85"/>
      <x:c r="G18" s="85"/>
      <x:c r="H18" s="86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</x:sheetData>
  <x:mergeCells>
    <x:mergeCell ref="A2:H2"/>
  </x:mergeCells>
  <x:conditionalFormatting sqref="F5:F18">
    <x:cfRule type="containsText" dxfId="1" priority="1" operator="containsText" text="已完成"/>
    <x:cfRule type="containsText" dxfId="2" priority="2" operator="containsText" text="未开始"/>
  </x:conditionalFormatting>
  <x:dataValidations count="1">
    <x:dataValidation type="list" sqref="F5:F18">
      <x:formula1>"未开始,进行中,已完成,不适用"</x:formula1>
    </x:dataValidation>
  </x:dataValidations>
  <x:pageMargins left="0.7" right="0.7" top="0.75" bottom="0.75" header="0.3" footer="0.3"/>
</x:worksheet>
</file>